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hsonline-my.sharepoint.com/personal/tjm254_multihosp_net/Documents/aaReadmissions/projects/surgiflow-DEV/"/>
    </mc:Choice>
  </mc:AlternateContent>
  <xr:revisionPtr revIDLastSave="21" documentId="8_{96BC1910-F119-48CB-B9A4-527BC55C6F9E}" xr6:coauthVersionLast="47" xr6:coauthVersionMax="47" xr10:uidLastSave="{32A844EA-75A1-4D81-9EA9-E142A77F4F96}"/>
  <bookViews>
    <workbookView xWindow="-120" yWindow="-120" windowWidth="29040" windowHeight="15720" tabRatio="810" activeTab="4" xr2:uid="{50D9214F-9A88-4CBF-AD58-DDA6A9DCEE14}"/>
  </bookViews>
  <sheets>
    <sheet name="SURGIFLOW EOSR" sheetId="1" r:id="rId1"/>
    <sheet name="SURGIFLOW  VAD AUDIT" sheetId="33" r:id="rId2"/>
    <sheet name="CAUTI-CLABSI" sheetId="11" r:id="rId3"/>
    <sheet name="SURGIFLOW GT7 DC LIST" sheetId="36" r:id="rId4"/>
    <sheet name="NEW SURGIFLOW GT7 UNITGUIDE" sheetId="31" r:id="rId5"/>
  </sheets>
  <definedNames>
    <definedName name="______________ACT1">#REF!</definedName>
    <definedName name="______________ACT2">#REF!</definedName>
    <definedName name="______________ACT3">#REF!</definedName>
    <definedName name="_____________ACT1">#REF!</definedName>
    <definedName name="_____________ACT2">#REF!</definedName>
    <definedName name="_____________ACT3">#REF!</definedName>
    <definedName name="____________ACT1">#REF!</definedName>
    <definedName name="____________ACT2">#REF!</definedName>
    <definedName name="____________ACT3">#REF!</definedName>
    <definedName name="___________ACT1">#REF!</definedName>
    <definedName name="___________ACT2">#REF!</definedName>
    <definedName name="___________ACT3">#REF!</definedName>
    <definedName name="__________ACT1">#REF!</definedName>
    <definedName name="__________ACT2">#REF!</definedName>
    <definedName name="__________ACT3">#REF!</definedName>
    <definedName name="_________ACT1">#REF!</definedName>
    <definedName name="_________ACT2">#REF!</definedName>
    <definedName name="_________ACT3">#REF!</definedName>
    <definedName name="________ACT1">#REF!</definedName>
    <definedName name="________ACT2">#REF!</definedName>
    <definedName name="________ACT3">#REF!</definedName>
    <definedName name="_______ACT1">#REF!</definedName>
    <definedName name="_______ACT2">#REF!</definedName>
    <definedName name="_______ACT3">#REF!</definedName>
    <definedName name="______ACT1">#REF!</definedName>
    <definedName name="______ACT2">#REF!</definedName>
    <definedName name="______ACT3">#REF!</definedName>
    <definedName name="_____ACT1">#REF!</definedName>
    <definedName name="_____ACT2">#REF!</definedName>
    <definedName name="_____ACT3">#REF!</definedName>
    <definedName name="____ACT1">#REF!</definedName>
    <definedName name="____ACT2">#REF!</definedName>
    <definedName name="____ACT3">#REF!</definedName>
    <definedName name="___ACT1">#REF!</definedName>
    <definedName name="___ACT2">#REF!</definedName>
    <definedName name="___ACT3">#REF!</definedName>
    <definedName name="__ACT1">#REF!</definedName>
    <definedName name="__ACT2">#REF!</definedName>
    <definedName name="__ACT3">#REF!</definedName>
    <definedName name="_11_10_2015">#REF!</definedName>
    <definedName name="_ACT1">#REF!</definedName>
    <definedName name="_ACT2">#REF!</definedName>
    <definedName name="_ACT3">#REF!</definedName>
    <definedName name="_xleta.NOW" hidden="1" xlm="1">#NAME?</definedName>
    <definedName name="_xleta.SUM" hidden="1" xlm="1">#NAME?</definedName>
    <definedName name="a">#REF!</definedName>
    <definedName name="a0">#REF!</definedName>
    <definedName name="AAA">#REF!</definedName>
    <definedName name="ACCT">#REF!</definedName>
    <definedName name="ACT_CUR">#REF!</definedName>
    <definedName name="ACT_YTD">#REF!</definedName>
    <definedName name="Alt">#REF!</definedName>
    <definedName name="AltReportSheet">#REF!</definedName>
    <definedName name="Apk">#REF!</definedName>
    <definedName name="apopka">#REF!</definedName>
    <definedName name="BUD_CUR">#REF!</definedName>
    <definedName name="BUD_YTD">#REF!</definedName>
    <definedName name="ccn">#REF!</definedName>
    <definedName name="cel">#REF!</definedName>
    <definedName name="colgroup">#REF!</definedName>
    <definedName name="colsegment">#REF!</definedName>
    <definedName name="contract">#REF!</definedName>
    <definedName name="DEPT">#REF!</definedName>
    <definedName name="dollars">#REF!</definedName>
    <definedName name="drlFilter">#REF!</definedName>
    <definedName name="East">#REF!</definedName>
    <definedName name="End">#REF!</definedName>
    <definedName name="ExternalData_1" localSheetId="4" hidden="1">'NEW SURGIFLOW GT7 UNITGUIDE'!$A$4:$Z$44</definedName>
    <definedName name="ExternalData_2" localSheetId="1" hidden="1">'SURGIFLOW  VAD AUDIT'!$A$4:$AC$7</definedName>
    <definedName name="ExternalData_2" localSheetId="3" hidden="1">'SURGIFLOW GT7 DC LIST'!$B$4:$X$13</definedName>
    <definedName name="fgfdg">#REF!</definedName>
    <definedName name="filter">#REF!</definedName>
    <definedName name="Hours">#REF!</definedName>
    <definedName name="hrscheck">#REF!</definedName>
    <definedName name="ipvolact">#REF!</definedName>
    <definedName name="Ksm">#REF!</definedName>
    <definedName name="manvolact">#REF!</definedName>
    <definedName name="master_def">#REF!</definedName>
    <definedName name="MetaSet">#REF!</definedName>
    <definedName name="new">#REF!</definedName>
    <definedName name="old">#REF!</definedName>
    <definedName name="opvolact">#REF!</definedName>
    <definedName name="primtbl">#REF!</definedName>
    <definedName name="_xlnm.Print_Area" localSheetId="2">'CAUTI-CLABSI'!$A$1:$W$2</definedName>
    <definedName name="_xlnm.Print_Area" localSheetId="0">'SURGIFLOW EOSR'!$A$1:$M$32</definedName>
    <definedName name="Print_Area_MI">#REF!</definedName>
    <definedName name="Print_Titles_MI">#REF!</definedName>
    <definedName name="qLeftOut">#REF!</definedName>
    <definedName name="qVolumeList">#REF!</definedName>
    <definedName name="rate">#REF!</definedName>
    <definedName name="report_type">#REF!</definedName>
    <definedName name="ReportVersion">#REF!</definedName>
    <definedName name="rngCreateLog">#REF!</definedName>
    <definedName name="rngFilePassword">#REF!</definedName>
    <definedName name="rngSourceTab">#REF!</definedName>
    <definedName name="rowgroup">#REF!</definedName>
    <definedName name="rowsegment">#REF!</definedName>
    <definedName name="Sequential_Group">#REF!</definedName>
    <definedName name="Sequential_Segment">#REF!</definedName>
    <definedName name="Sequential_Sort">#REF!</definedName>
    <definedName name="sortcol">#REF!</definedName>
    <definedName name="sortcol1">#REF!</definedName>
    <definedName name="Supplemental_Filter">#REF!</definedName>
    <definedName name="timeseries">#REF!</definedName>
    <definedName name="TOTALPATDAYS">#REF!</definedName>
    <definedName name="valHighlight">#REF!</definedName>
    <definedName name="volume">#REF!</definedName>
    <definedName name="wp">#REF!</definedName>
    <definedName name="xperiod">#REF!</definedName>
    <definedName name="xtab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6" l="1"/>
  <c r="B2" i="3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GT7DCLIST" description="Connection to the 'GT7DCLIST' query in the workbook." type="5" refreshedVersion="8" background="1" saveData="1">
    <dbPr connection="Provider=Microsoft.Mashup.OleDb.1;Data Source=$Workbook$;Location=GT7DCLIST;Extended Properties=&quot;&quot;" command="SELECT * FROM [GT7DCLIST]"/>
  </connection>
  <connection id="2" xr16:uid="{00000000-0015-0000-FFFF-FFFF01000000}" keepAlive="1" name="Query - GT7UNITGUIDE" description="Connection to the 'GT7UNITGUIDE' query in the workbook." type="5" refreshedVersion="8" background="1" saveData="1">
    <dbPr connection="Provider=Microsoft.Mashup.OleDb.1;Data Source=$Workbook$;Location=GT7UNITGUIDE;Extended Properties=&quot;&quot;" command="SELECT * FROM [GT7UNITGUIDE]"/>
  </connection>
  <connection id="3" xr16:uid="{00000000-0015-0000-FFFF-FFFF02000000}" keepAlive="1" name="Query - NewPatientTracking" description="Connection to the 'NewPatientTracking' query in the workbook." type="5" refreshedVersion="8" saveData="1">
    <dbPr connection="Provider=Microsoft.Mashup.OleDb.1;Data Source=$Workbook$;Location=NewPatientTracking;Extended Properties=&quot;&quot;" command="SELECT * FROM [NewPatientTracking]"/>
  </connection>
  <connection id="4" xr16:uid="{00000000-0015-0000-FFFF-FFFF03000000}" keepAlive="1" name="Query - VADaudit" description="Connection to the 'VADaudit' query in the workbook." type="5" refreshedVersion="8" background="1" saveData="1">
    <dbPr connection="Provider=Microsoft.Mashup.OleDb.1;Data Source=$Workbook$;Location=VADaudit;Extended Properties=&quot;&quot;" command="SELECT * FROM [VADaudit]"/>
  </connection>
</connections>
</file>

<file path=xl/sharedStrings.xml><?xml version="1.0" encoding="utf-8"?>
<sst xmlns="http://schemas.openxmlformats.org/spreadsheetml/2006/main" count="1221" uniqueCount="507">
  <si>
    <t>Column1</t>
  </si>
  <si>
    <t>Room</t>
  </si>
  <si>
    <t>Name</t>
  </si>
  <si>
    <t>RN</t>
  </si>
  <si>
    <t xml:space="preserve">EOSR - GT7 </t>
  </si>
  <si>
    <t> Infection Prevention Playbook EOS Report </t>
  </si>
  <si>
    <t>Tuesday Sept 15, 2026</t>
  </si>
  <si>
    <t>HUC</t>
  </si>
  <si>
    <t>AM</t>
  </si>
  <si>
    <t>Patient Notes</t>
  </si>
  <si>
    <t>Tues 09/15/26</t>
  </si>
  <si>
    <t xml:space="preserve">Dianna </t>
  </si>
  <si>
    <t xml:space="preserve">CHARGE </t>
  </si>
  <si>
    <t>Staffing</t>
  </si>
  <si>
    <t>Your Shift</t>
  </si>
  <si>
    <t>Next shift</t>
  </si>
  <si>
    <t>Tikosyn:     NA                Sotalol: 28, 35</t>
  </si>
  <si>
    <t xml:space="preserve">Overdue CHG's Room Number </t>
  </si>
  <si>
    <t xml:space="preserve">Juan/ Jena </t>
  </si>
  <si>
    <t xml:space="preserve">Overdue  -  17, 18, 35, 37, 21, 33, </t>
  </si>
  <si>
    <t>Flex RN</t>
  </si>
  <si>
    <t>LVAD: ., 13, 22</t>
  </si>
  <si>
    <t>Dianna</t>
  </si>
  <si>
    <t>OHT: 03. 08, 11, 23, 27.39</t>
  </si>
  <si>
    <t>Float In on your Shift</t>
  </si>
  <si>
    <t>PCT</t>
  </si>
  <si>
    <r>
      <rPr>
        <b/>
        <sz val="14"/>
        <color rgb="FF000000"/>
        <rFont val="Century Schoolbook"/>
        <family val="1"/>
      </rPr>
      <t>PEG</t>
    </r>
    <r>
      <rPr>
        <sz val="14"/>
        <color rgb="FF000000"/>
        <rFont val="Century Schoolbook"/>
        <family val="1"/>
      </rPr>
      <t>:</t>
    </r>
    <r>
      <rPr>
        <b/>
        <sz val="14"/>
        <color rgb="FF000000"/>
        <rFont val="Century Schoolbook"/>
      </rPr>
      <t xml:space="preserve">  </t>
    </r>
    <r>
      <rPr>
        <sz val="14"/>
        <color rgb="FF000000"/>
        <rFont val="Century Schoolbook"/>
        <family val="1"/>
      </rPr>
      <t>NA</t>
    </r>
    <r>
      <rPr>
        <b/>
        <sz val="14"/>
        <color rgb="FF000000"/>
        <rFont val="Century Schoolbook"/>
      </rPr>
      <t xml:space="preserve"> </t>
    </r>
    <r>
      <rPr>
        <sz val="14"/>
        <color rgb="FF000000"/>
        <rFont val="Century Schoolbook"/>
      </rPr>
      <t xml:space="preserve">   </t>
    </r>
    <r>
      <rPr>
        <b/>
        <sz val="14"/>
        <color rgb="FF000000"/>
        <rFont val="Century Schoolbook"/>
        <family val="1"/>
      </rPr>
      <t>DH/NGT</t>
    </r>
    <r>
      <rPr>
        <sz val="14"/>
        <color rgb="FF000000"/>
        <rFont val="Century Schoolbook"/>
      </rPr>
      <t xml:space="preserve">:  37  </t>
    </r>
    <r>
      <rPr>
        <b/>
        <sz val="14"/>
        <color rgb="FF000000"/>
        <rFont val="Century Schoolbook"/>
      </rPr>
      <t>JP: 39</t>
    </r>
    <r>
      <rPr>
        <sz val="14"/>
        <color rgb="FF000000"/>
        <rFont val="Century Schoolbook"/>
      </rPr>
      <t xml:space="preserve">    </t>
    </r>
    <r>
      <rPr>
        <b/>
        <sz val="14"/>
        <color rgb="FF000000"/>
        <rFont val="Century Schoolbook"/>
      </rPr>
      <t>Foley</t>
    </r>
    <r>
      <rPr>
        <sz val="14"/>
        <color rgb="FF000000"/>
        <rFont val="Century Schoolbook"/>
      </rPr>
      <t xml:space="preserve">: 21     </t>
    </r>
    <r>
      <rPr>
        <b/>
        <sz val="14"/>
        <color rgb="FF000000"/>
        <rFont val="Century Schoolbook"/>
        <family val="1"/>
      </rPr>
      <t>Trach:</t>
    </r>
    <r>
      <rPr>
        <sz val="14"/>
        <color rgb="FF000000"/>
        <rFont val="Century Schoolbook"/>
      </rPr>
      <t xml:space="preserve">  N/A     </t>
    </r>
    <r>
      <rPr>
        <b/>
        <sz val="14"/>
        <color rgb="FF000000"/>
        <rFont val="Century Schoolbook"/>
      </rPr>
      <t xml:space="preserve">WV: </t>
    </r>
    <r>
      <rPr>
        <sz val="14"/>
        <color rgb="FF000000"/>
        <rFont val="Century Schoolbook"/>
        <family val="1"/>
      </rPr>
      <t>32.03</t>
    </r>
  </si>
  <si>
    <t xml:space="preserve">laura GT6 PCT </t>
  </si>
  <si>
    <t>Flex</t>
  </si>
  <si>
    <t>Non-Published: 37</t>
  </si>
  <si>
    <t>Midnight Census</t>
  </si>
  <si>
    <t>Communication assist: Spanish 25 &amp; 16  ; Portuguese - 23</t>
  </si>
  <si>
    <t>End of Shift</t>
  </si>
  <si>
    <t xml:space="preserve">TRACH: </t>
  </si>
  <si>
    <t>NA</t>
  </si>
  <si>
    <t xml:space="preserve">Chest Tubes: </t>
  </si>
  <si>
    <t>11.37.39</t>
  </si>
  <si>
    <t>HF: 6.9.14.34.37</t>
  </si>
  <si>
    <t>Wound Vacs</t>
  </si>
  <si>
    <t xml:space="preserve">pacer wires </t>
  </si>
  <si>
    <t xml:space="preserve">Need CHG Offer </t>
  </si>
  <si>
    <t xml:space="preserve"> </t>
  </si>
  <si>
    <t>Float Out On Your Shift</t>
  </si>
  <si>
    <t>ISO CABG: 2.12.20.22.27.36.40</t>
  </si>
  <si>
    <t xml:space="preserve">Due soon </t>
  </si>
  <si>
    <t xml:space="preserve">None </t>
  </si>
  <si>
    <t>FAREWELL: 5.6.9.14.15.21.22.24.25.27.34.36</t>
  </si>
  <si>
    <t>Procedures 09/16:   05  CABG,  8  RHC,   33 RHC,   29 CABG</t>
  </si>
  <si>
    <t>Foley Care (Must be documented &amp; validated during your shift):</t>
  </si>
  <si>
    <t xml:space="preserve"> 7821 completed  @ </t>
  </si>
  <si>
    <t xml:space="preserve">I/O: </t>
  </si>
  <si>
    <t xml:space="preserve">Welcome visits: </t>
  </si>
  <si>
    <t>Central Line / Midlines  △</t>
  </si>
  <si>
    <t xml:space="preserve">Collected:  </t>
  </si>
  <si>
    <t xml:space="preserve">7807 LVAD D/C </t>
  </si>
  <si>
    <t>High Risk Lines</t>
  </si>
  <si>
    <t xml:space="preserve">none </t>
  </si>
  <si>
    <t>TRACH CARE Documented</t>
  </si>
  <si>
    <t>N/A</t>
  </si>
  <si>
    <t>✩✩✩ Lunch Break ✩✩✩</t>
  </si>
  <si>
    <t xml:space="preserve">Blood Culture Selfies </t>
  </si>
  <si>
    <t xml:space="preserve">    </t>
  </si>
  <si>
    <t>Called Out for Scheduled Shift</t>
  </si>
  <si>
    <t xml:space="preserve">KARIUS Test Selfie </t>
  </si>
  <si>
    <t xml:space="preserve">Urine Cx Selfie from Foley </t>
  </si>
  <si>
    <t xml:space="preserve">C.Diff Selfie </t>
  </si>
  <si>
    <t>Unit Assignment:</t>
  </si>
  <si>
    <t xml:space="preserve">Peer to Peer Collection </t>
  </si>
  <si>
    <t xml:space="preserve">Central Lines </t>
  </si>
  <si>
    <t>13/13</t>
  </si>
  <si>
    <t>Foley</t>
  </si>
  <si>
    <t>Midshift Staffing Changes</t>
  </si>
  <si>
    <t>Date of last CLABSI</t>
  </si>
  <si>
    <t xml:space="preserve">, </t>
  </si>
  <si>
    <t>Early: N/A</t>
  </si>
  <si>
    <t>Blood Culture Selfie Sheet</t>
  </si>
  <si>
    <t>CDT: n/a</t>
  </si>
  <si>
    <t>suleima</t>
  </si>
  <si>
    <t>Dressing Changed</t>
  </si>
  <si>
    <t>11</t>
  </si>
  <si>
    <t>MRN</t>
  </si>
  <si>
    <t>HM3</t>
  </si>
  <si>
    <t>5500/5300</t>
  </si>
  <si>
    <t xml:space="preserve">GT7 VAD AUDIT    Tuesday September 15, 2026     Juan </t>
  </si>
  <si>
    <t>LAST EDITED:</t>
  </si>
  <si>
    <t>Patients will populate in your VAD audit based on the VAD Type HM2, HM3 or other</t>
  </si>
  <si>
    <t>CLICK HERE FOR TO GO DIRECTLY TO SURGIFLOW</t>
  </si>
  <si>
    <t>VAD  Status</t>
  </si>
  <si>
    <t>VAD Type</t>
  </si>
  <si>
    <t>VAD Cart #</t>
  </si>
  <si>
    <t>WeightToday</t>
  </si>
  <si>
    <t>VAD Speed</t>
  </si>
  <si>
    <t>VAD Dressing Change Order</t>
  </si>
  <si>
    <t>VAD Photo Uploaded</t>
  </si>
  <si>
    <t>VAD Dsr Next Due</t>
  </si>
  <si>
    <t>VAD VS q4 AM</t>
  </si>
  <si>
    <t>VAD VS q4 PM</t>
  </si>
  <si>
    <t>VAD RN</t>
  </si>
  <si>
    <t>VAD Missing Required</t>
  </si>
  <si>
    <t>VAD DND</t>
  </si>
  <si>
    <t>VAD MISC NOTES</t>
  </si>
  <si>
    <t>teamsConversationMetadata_D86AE24D-7AF7-44D0-BFC8-90F17551E2ED</t>
  </si>
  <si>
    <t>EF</t>
  </si>
  <si>
    <t>GMLOS</t>
  </si>
  <si>
    <t>CSN</t>
  </si>
  <si>
    <t>Appointment Detail</t>
  </si>
  <si>
    <t>Fall Risk</t>
  </si>
  <si>
    <t>Creatinine</t>
  </si>
  <si>
    <t>Potassium (K+)</t>
  </si>
  <si>
    <t>Magnesium</t>
  </si>
  <si>
    <t>Hemoglobin (Hgb)</t>
  </si>
  <si>
    <t>Incentive Spirometry</t>
  </si>
  <si>
    <t>Cruz, Sonia</t>
  </si>
  <si>
    <t>FRESH</t>
  </si>
  <si>
    <t>5100 / 4900</t>
  </si>
  <si>
    <t>Q72HRS</t>
  </si>
  <si>
    <t/>
  </si>
  <si>
    <t>yes</t>
  </si>
  <si>
    <t>YES</t>
  </si>
  <si>
    <t>Genesis</t>
  </si>
  <si>
    <t xml:space="preserve">discharge today </t>
  </si>
  <si>
    <t>5010487914914</t>
  </si>
  <si>
    <t>17</t>
  </si>
  <si>
    <t>1.1 mg/dL</t>
  </si>
  <si>
    <t>4.3</t>
  </si>
  <si>
    <t>3</t>
  </si>
  <si>
    <t>10.0 g/dL</t>
  </si>
  <si>
    <t>26%</t>
  </si>
  <si>
    <t>Martin, Erika Irene</t>
  </si>
  <si>
    <t>Re-admission</t>
  </si>
  <si>
    <t>Yes</t>
  </si>
  <si>
    <t>Gianni</t>
  </si>
  <si>
    <t>2300-0500</t>
  </si>
  <si>
    <t>5010482962029</t>
  </si>
  <si>
    <t>9</t>
  </si>
  <si>
    <t>1.2 mg/dL</t>
  </si>
  <si>
    <t>5.2</t>
  </si>
  <si>
    <t>2.8</t>
  </si>
  <si>
    <t>18%</t>
  </si>
  <si>
    <t>Williams, Glenda</t>
  </si>
  <si>
    <t>Out of town</t>
  </si>
  <si>
    <t>HeartWare</t>
  </si>
  <si>
    <t>3060</t>
  </si>
  <si>
    <t>Q96HRS</t>
  </si>
  <si>
    <t xml:space="preserve">yes </t>
  </si>
  <si>
    <t>Perla</t>
  </si>
  <si>
    <t xml:space="preserve">having issues with connecting the prong </t>
  </si>
  <si>
    <t>5010496884830</t>
  </si>
  <si>
    <t>8</t>
  </si>
  <si>
    <t>1.7 mg/dL</t>
  </si>
  <si>
    <t>2.2</t>
  </si>
  <si>
    <t>11.6 g/dL</t>
  </si>
  <si>
    <t>22%</t>
  </si>
  <si>
    <t>Y</t>
  </si>
  <si>
    <t>✩ GT7 CVC's &amp; FOLEY's</t>
  </si>
  <si>
    <t>Tuesday, September 15, 2026</t>
  </si>
  <si>
    <t>Patient Last Name,First</t>
  </si>
  <si>
    <t>Room Number</t>
  </si>
  <si>
    <t xml:space="preserve">PIV Present? </t>
  </si>
  <si>
    <t>Line Type</t>
  </si>
  <si>
    <t xml:space="preserve">CHG Bath? </t>
  </si>
  <si>
    <t>CHG dressing dry and intact?</t>
  </si>
  <si>
    <t>Does the gel pad retain shape when depressed?</t>
  </si>
  <si>
    <t>Dressing dated &amp; within 7 days?</t>
  </si>
  <si>
    <t xml:space="preserve">Tubing sets labeled and not expired? </t>
  </si>
  <si>
    <t>Curos caps on all access ports and peripheral sites?</t>
  </si>
  <si>
    <t>Peer To Peer turned in?</t>
  </si>
  <si>
    <t>Reason for continuing line?  List medications</t>
  </si>
  <si>
    <t>DSG change due date</t>
  </si>
  <si>
    <t>High Risk?</t>
  </si>
  <si>
    <t>Insertion date documented on bag?</t>
  </si>
  <si>
    <t>Stat lock in place?</t>
  </si>
  <si>
    <t>Foley bag &lt; 3/4 full?</t>
  </si>
  <si>
    <t>Red seal intact at junction of tubing?</t>
  </si>
  <si>
    <t>Bag not touching floor and BELOW the level of the bladder?</t>
  </si>
  <si>
    <t>Free of DEPENDENT LOOPS?</t>
  </si>
  <si>
    <t>Documentation of PERICARE, twice daily?</t>
  </si>
  <si>
    <t>NOTES</t>
  </si>
  <si>
    <t>PICC Triple RUA</t>
  </si>
  <si>
    <t>n</t>
  </si>
  <si>
    <t>Adebimpe, Jumoke</t>
  </si>
  <si>
    <t>PICC Triple Lumen</t>
  </si>
  <si>
    <t>milrinone gtt</t>
  </si>
  <si>
    <t>N</t>
  </si>
  <si>
    <t xml:space="preserve">Mercier, Felix </t>
  </si>
  <si>
    <t>PICC triple LUA</t>
  </si>
  <si>
    <t>y</t>
  </si>
  <si>
    <t>Dobutamine gtt</t>
  </si>
  <si>
    <t>Martin Erika Martinez</t>
  </si>
  <si>
    <t>Easter. Michael</t>
  </si>
  <si>
    <t>PICC triple RUA</t>
  </si>
  <si>
    <t>amiodarone gtt</t>
  </si>
  <si>
    <t>Clements, Lois</t>
  </si>
  <si>
    <t>PICC triple</t>
  </si>
  <si>
    <t>Dobutamine</t>
  </si>
  <si>
    <t>Ward,  Aaron</t>
  </si>
  <si>
    <t>PICC triple double</t>
  </si>
  <si>
    <t>Charlene Cutter</t>
  </si>
  <si>
    <t xml:space="preserve">FOLEY </t>
  </si>
  <si>
    <t xml:space="preserve">Retention </t>
  </si>
  <si>
    <t>Vargas, Kassandra</t>
  </si>
  <si>
    <t>HD Cath</t>
  </si>
  <si>
    <t xml:space="preserve">HD cath </t>
  </si>
  <si>
    <t>Debra Malone</t>
  </si>
  <si>
    <t>Double R IJ for HD</t>
  </si>
  <si>
    <t>Varela Franco</t>
  </si>
  <si>
    <t>Lankford, Renate</t>
  </si>
  <si>
    <t>PICC double  RUA</t>
  </si>
  <si>
    <t>Miranda, Victor</t>
  </si>
  <si>
    <t>heparin gtt, milrinone</t>
  </si>
  <si>
    <t>Casler, Donald</t>
  </si>
  <si>
    <t>insulin, dobutamine gtt</t>
  </si>
  <si>
    <t>15</t>
  </si>
  <si>
    <t>PEER 2 PEER FORM</t>
  </si>
  <si>
    <t xml:space="preserve">                                               </t>
  </si>
  <si>
    <t xml:space="preserve">                                 </t>
  </si>
  <si>
    <t>GT7 DC LIST</t>
  </si>
  <si>
    <t>All patients from Surgiflow will populate here after choosing Data from the top menu and REFRESH.</t>
  </si>
  <si>
    <t>Clinical Needs to Continue Admission</t>
  </si>
  <si>
    <t>EDD</t>
  </si>
  <si>
    <t>Clinical Needs to Continue Admission2</t>
  </si>
  <si>
    <t>Dispo</t>
  </si>
  <si>
    <t>Consultants Pending</t>
  </si>
  <si>
    <t>DC Order</t>
  </si>
  <si>
    <t>Column2</t>
  </si>
  <si>
    <t>Med Rec</t>
  </si>
  <si>
    <t>Non-Clinical DC Barriers</t>
  </si>
  <si>
    <t>Column5</t>
  </si>
  <si>
    <t>Column6</t>
  </si>
  <si>
    <t>Purcell, Pearl C</t>
  </si>
  <si>
    <t xml:space="preserve">Cardio clearance </t>
  </si>
  <si>
    <t>Home or Self Care</t>
  </si>
  <si>
    <t>5010496671770</t>
  </si>
  <si>
    <t>PCP — 9/21/26 10:40 AM with Stacey Lynn Rivera</t>
  </si>
  <si>
    <t>6</t>
  </si>
  <si>
    <t>0.9 mg/dL</t>
  </si>
  <si>
    <t>1.9</t>
  </si>
  <si>
    <t>12.9 g/dL</t>
  </si>
  <si>
    <t>12%</t>
  </si>
  <si>
    <t xml:space="preserve">INR 2.3 (2-3 )
Pending IPR
</t>
  </si>
  <si>
    <t>Inpatient Rehab Facility or Unit</t>
  </si>
  <si>
    <t>****Needs to be at IPR by 1400hrs on Friday or cannot go until Sat AM or Mon AM***</t>
  </si>
  <si>
    <t xml:space="preserve">
</t>
  </si>
  <si>
    <t>Delzingaro, Celeste Marie</t>
  </si>
  <si>
    <t xml:space="preserve">IV to PO abx per attending </t>
  </si>
  <si>
    <t>CABG eval with Dr Guel</t>
  </si>
  <si>
    <t>5010495543184</t>
  </si>
  <si>
    <t>0.8 mg/dL</t>
  </si>
  <si>
    <t>3.8</t>
  </si>
  <si>
    <t>11.9 g/dL</t>
  </si>
  <si>
    <t>7%</t>
  </si>
  <si>
    <t>INR 2.3 (2-3)</t>
  </si>
  <si>
    <t>HHC ONLY</t>
  </si>
  <si>
    <t>Genaro Neto, Silvio</t>
  </si>
  <si>
    <t xml:space="preserve">Ins auth for IPR
IV to PO abx 9/14
</t>
  </si>
  <si>
    <t xml:space="preserve">
</t>
  </si>
  <si>
    <t>5010470490211</t>
  </si>
  <si>
    <t>PCP — Sep 14, 2026 10:00 AM with Emmanuelle Marinho Ballenilla</t>
  </si>
  <si>
    <t>13</t>
  </si>
  <si>
    <t>5 mg/dL</t>
  </si>
  <si>
    <t>4.5</t>
  </si>
  <si>
    <t>2.4</t>
  </si>
  <si>
    <t>8.0 g/dL</t>
  </si>
  <si>
    <t>28%</t>
  </si>
  <si>
    <t>Lankford, Renate Margarete</t>
  </si>
  <si>
    <t xml:space="preserve">Structural to see 9/15 TAVR v Watchman?
Lymph wraps 
</t>
  </si>
  <si>
    <t>Home with Home Health Services</t>
  </si>
  <si>
    <t>Consult/ Cardio - Ranadive</t>
  </si>
  <si>
    <t>5010495460506</t>
  </si>
  <si>
    <t>14</t>
  </si>
  <si>
    <t>5.3</t>
  </si>
  <si>
    <t>2.3</t>
  </si>
  <si>
    <t>20%</t>
  </si>
  <si>
    <t>Guedes, Beny Lester</t>
  </si>
  <si>
    <t>DC plan - may not be ablet o return to ALF</t>
  </si>
  <si>
    <t>ALF</t>
  </si>
  <si>
    <t>Here at Kapoor's request</t>
  </si>
  <si>
    <t>5010495725675</t>
  </si>
  <si>
    <t>Follow-up — Sep 17, 2026 3:00 PM with Gideon Griffeth Lewis; Follow-up — Sep 18, 2026 10:30 AM with Georgia Nicole Lowe</t>
  </si>
  <si>
    <t>23</t>
  </si>
  <si>
    <t>1 mg/dL</t>
  </si>
  <si>
    <t>4.9</t>
  </si>
  <si>
    <t>2.1</t>
  </si>
  <si>
    <t>11.4 g/dL</t>
  </si>
  <si>
    <t>32%</t>
  </si>
  <si>
    <t>Thomas, Dale Robin</t>
  </si>
  <si>
    <t>TEE/CV 9/17 unless it can be done 9/15
Lymph wraps</t>
  </si>
  <si>
    <t>5010490598986</t>
  </si>
  <si>
    <t>12</t>
  </si>
  <si>
    <t>4.2</t>
  </si>
  <si>
    <t>2</t>
  </si>
  <si>
    <t>23%</t>
  </si>
  <si>
    <t>Peterson, Geoffrey Eric</t>
  </si>
  <si>
    <t xml:space="preserve">Hep gtt 
ONC to see 
INR 1.14 
</t>
  </si>
  <si>
    <t>Refuses LV</t>
  </si>
  <si>
    <t>5010494509702</t>
  </si>
  <si>
    <t>4.6</t>
  </si>
  <si>
    <t>11.8 g/dL</t>
  </si>
  <si>
    <t>Jena</t>
  </si>
  <si>
    <t>Column7</t>
  </si>
  <si>
    <t>Column8</t>
  </si>
  <si>
    <t>Misaligned Dispo</t>
  </si>
  <si>
    <t>SurgeryBarriers</t>
  </si>
  <si>
    <t>Column3</t>
  </si>
  <si>
    <t>Column4</t>
  </si>
  <si>
    <t>SurgeryToday</t>
  </si>
  <si>
    <t>Column9</t>
  </si>
  <si>
    <t>Column10</t>
  </si>
  <si>
    <t>Column11</t>
  </si>
  <si>
    <t xml:space="preserve">LHC cancelled needing pulm optimization on IV solumedrol </t>
  </si>
  <si>
    <t>Nichols, Marlon L</t>
  </si>
  <si>
    <t xml:space="preserve">PT recs SNF, VA insurance 
LVAD? 
Lasix q6H
Lymph wraps 
</t>
  </si>
  <si>
    <t>Short Term General Hospital for Inpatient Care</t>
  </si>
  <si>
    <t>5010496288038</t>
  </si>
  <si>
    <t>10</t>
  </si>
  <si>
    <t>1.3 mg/dL</t>
  </si>
  <si>
    <t>11.0 g/dL</t>
  </si>
  <si>
    <t>19%</t>
  </si>
  <si>
    <t>DC to ALF, was unable to take admits on the weekend.</t>
  </si>
  <si>
    <t>Basdeo, Kelvin J</t>
  </si>
  <si>
    <t xml:space="preserve">CABG 9/15 @1355pm
2L NC - home dose </t>
  </si>
  <si>
    <t>5010497133405</t>
  </si>
  <si>
    <t>7</t>
  </si>
  <si>
    <t>1.8</t>
  </si>
  <si>
    <t>14.4 g/dL</t>
  </si>
  <si>
    <t>10%</t>
  </si>
  <si>
    <t>IV lasix 80 mg BID 
IV abx 6/16</t>
  </si>
  <si>
    <t>Asher, Jay Robert</t>
  </si>
  <si>
    <t>INR 1.21
Wound care BID
IV abx 
RHC 9/17 (outpatient v inpatient)</t>
  </si>
  <si>
    <t>5010496177353</t>
  </si>
  <si>
    <t>1.4 mg/dL</t>
  </si>
  <si>
    <t>9.3 g/dL</t>
  </si>
  <si>
    <t>34%</t>
  </si>
  <si>
    <t xml:space="preserve">Pending med clearances, palliative eval,  and HD session. </t>
  </si>
  <si>
    <t>Luckett, Paul Edward</t>
  </si>
  <si>
    <t>IV bumex to q8H 
IV roceph until 9/27
Now with lymph wraps</t>
  </si>
  <si>
    <t>5010496217611</t>
  </si>
  <si>
    <t>10.8 g/dL</t>
  </si>
  <si>
    <t xml:space="preserve">S.p OHT 6/7 with Zeeshan
CTx4
PW to gen
Going for Bx #1 6/15 with MD Mazimba 
</t>
  </si>
  <si>
    <t>Rivera Velazquez, Mariano</t>
  </si>
  <si>
    <t>5010487500592</t>
  </si>
  <si>
    <t>10.5 mg/dL</t>
  </si>
  <si>
    <t>8.5 g/dL</t>
  </si>
  <si>
    <t>17%</t>
  </si>
  <si>
    <t xml:space="preserve">Cholecystostomy placement 6/14. 
Possible HD cath insertion </t>
  </si>
  <si>
    <t xml:space="preserve">Pending Mondal scheduling for PPM repair </t>
  </si>
  <si>
    <t>Adebimpe, Jumoke Nofisatu</t>
  </si>
  <si>
    <t xml:space="preserve">RHC 9/16
Tacro 11.2 (10-12)
MDR 9/17
</t>
  </si>
  <si>
    <t>5010470812763</t>
  </si>
  <si>
    <t>4.7</t>
  </si>
  <si>
    <t>7.7 g/dL</t>
  </si>
  <si>
    <t>Decannulation</t>
  </si>
  <si>
    <t>Lawrence, John Jerome</t>
  </si>
  <si>
    <t xml:space="preserve">2L NC - home dose 
IV to PO meds 
</t>
  </si>
  <si>
    <t>5010494768206</t>
  </si>
  <si>
    <t>PCP — 9/16</t>
  </si>
  <si>
    <t>2 mg/dL</t>
  </si>
  <si>
    <t>3.9</t>
  </si>
  <si>
    <t>2.5</t>
  </si>
  <si>
    <t>13.3 g/dL</t>
  </si>
  <si>
    <t>Angiomax gtt
hernia repair</t>
  </si>
  <si>
    <t>Romero, Cassius</t>
  </si>
  <si>
    <t>CABG 9/18</t>
  </si>
  <si>
    <t>5010496073174</t>
  </si>
  <si>
    <t>PCP — 9/11; Follow-up — Sep 21, 2026 12:00 AM with Sarah Fatima Siddiqui</t>
  </si>
  <si>
    <t>15.0 g/dL</t>
  </si>
  <si>
    <t>4%</t>
  </si>
  <si>
    <t xml:space="preserve">S/p OHT 6/4 w Rinewalt, Primacor at 0.25 mcg, CTx1, PW to gen, JP x`1 </t>
  </si>
  <si>
    <t>Mercier, Felix Edmond Jr.</t>
  </si>
  <si>
    <t xml:space="preserve">CTx1 
Tacro 9.8 (10-12)
HCBx 9/17
Weaning Dobutamine
</t>
  </si>
  <si>
    <t>5010447939795</t>
  </si>
  <si>
    <t>8.4 g/dL</t>
  </si>
  <si>
    <t>30%</t>
  </si>
  <si>
    <t>Pending hem onc consult, remaining clearances. INR 2.48</t>
  </si>
  <si>
    <t>Torian Williams</t>
  </si>
  <si>
    <t xml:space="preserve">Pending cardiac plan/consult </t>
  </si>
  <si>
    <t xml:space="preserve">Needs heart
INR 2.08 (2-3)
Primacor gtt
</t>
  </si>
  <si>
    <t>Status 2E for OHT</t>
  </si>
  <si>
    <t>Occasional cont Afib, bronch 6/15</t>
  </si>
  <si>
    <t>Jean, Marie</t>
  </si>
  <si>
    <t>Cardio for HC results/POC</t>
  </si>
  <si>
    <t>SNF</t>
  </si>
  <si>
    <t>5010494807799</t>
  </si>
  <si>
    <t>1.7</t>
  </si>
  <si>
    <t>11.5 g/dL</t>
  </si>
  <si>
    <t xml:space="preserve">6/15 EGD, PO lasix, pending cardiac MRI
</t>
  </si>
  <si>
    <t>Cristan, Gene Val</t>
  </si>
  <si>
    <t>TAVR w/u</t>
  </si>
  <si>
    <t>5010497170172</t>
  </si>
  <si>
    <t>3.7</t>
  </si>
  <si>
    <t>12.6 g/dL</t>
  </si>
  <si>
    <t>TTE and RHC 6/16</t>
  </si>
  <si>
    <t>Easter, Michael James</t>
  </si>
  <si>
    <t>Needs heart
Amio gtt 
RHC 9/28</t>
  </si>
  <si>
    <t>PICC</t>
  </si>
  <si>
    <t>5010494285987</t>
  </si>
  <si>
    <t>1.6 mg/dL</t>
  </si>
  <si>
    <t xml:space="preserve">lasix gtt @ 20 mg/hr 
lymph wraps 
K/mg replacements </t>
  </si>
  <si>
    <t>Clements, Lois M</t>
  </si>
  <si>
    <t xml:space="preserve">bumex gtt
Dobu gtt
</t>
  </si>
  <si>
    <t>5010494385091</t>
  </si>
  <si>
    <t>1.5 mg/dL</t>
  </si>
  <si>
    <t>12.7 g/dL</t>
  </si>
  <si>
    <t>29%</t>
  </si>
  <si>
    <t xml:space="preserve">PCI 6/16, HHC </t>
  </si>
  <si>
    <t xml:space="preserve">HHC with RN to drain pleurex. 
needs drain education before DC and HD
</t>
  </si>
  <si>
    <t>Ward, Aaron L</t>
  </si>
  <si>
    <t xml:space="preserve">Transplant 
Status 2E  
</t>
  </si>
  <si>
    <t>9/8 - milrinone weaned off
now on zoloft
basal cell on ear, poss lesion 
PICC for intermittent inotrope tx</t>
  </si>
  <si>
    <t>5010480281228</t>
  </si>
  <si>
    <t>11%</t>
  </si>
  <si>
    <t xml:space="preserve">INR 1.45
Echo results off dobu, SNF arrangements 
</t>
  </si>
  <si>
    <t>France Jr, Charles E</t>
  </si>
  <si>
    <t>CABG 9/15 1510</t>
  </si>
  <si>
    <t>5010496912667</t>
  </si>
  <si>
    <t>5</t>
  </si>
  <si>
    <t>4.1</t>
  </si>
  <si>
    <t>14.8 g/dL</t>
  </si>
  <si>
    <t>13%</t>
  </si>
  <si>
    <t xml:space="preserve">AHTI eval, RHC 6/17, Dobu and hep gtt. </t>
  </si>
  <si>
    <t>Cutter, Charlene Penelope</t>
  </si>
  <si>
    <t>RL HC Thakur 9/15</t>
  </si>
  <si>
    <t>5010495371241</t>
  </si>
  <si>
    <t>10.1 g/dL</t>
  </si>
  <si>
    <t>25%</t>
  </si>
  <si>
    <t xml:space="preserve">Kidney Tx, CDT +, pendingmed clearances and 6MWT on 4L </t>
  </si>
  <si>
    <t xml:space="preserve">CTx4 remain, PW to gen, PT rec HHC, no diuretic </t>
  </si>
  <si>
    <t xml:space="preserve">Pending EP consult for ICD eval </t>
  </si>
  <si>
    <t>Harger, Terry Duane</t>
  </si>
  <si>
    <t>L r Pleural effusion
Thoracentesis bedside 9/15
Abx for PNA</t>
  </si>
  <si>
    <t>5010497232790</t>
  </si>
  <si>
    <t>8.6 g/dL</t>
  </si>
  <si>
    <t>36%</t>
  </si>
  <si>
    <t xml:space="preserve">IV abx 6/18
Hep gtt pending theraputic INR
CTS cslt pending </t>
  </si>
  <si>
    <t>Vargas, Kassandra Marie</t>
  </si>
  <si>
    <t xml:space="preserve">Needs HD fistula is no longer working. </t>
  </si>
  <si>
    <t>HD confirm chair time</t>
  </si>
  <si>
    <t>5010497605165</t>
  </si>
  <si>
    <t>21%</t>
  </si>
  <si>
    <t>Mass POC bx v debridment
INR 1.47 - goal (2-3) 
IV ABX --&gt; 6/17</t>
  </si>
  <si>
    <t>Hall, David Allen</t>
  </si>
  <si>
    <t>Nephro to clear pending hydration status 
2L NC - weaning</t>
  </si>
  <si>
    <t>5010485584364</t>
  </si>
  <si>
    <t>Cardiology — Sep 21, 2026 10:30 AM with Pradipkumar P Jamnadas; Cardiology — Sep 22, 2026 2:15 PM with Barry Seth Weinstock</t>
  </si>
  <si>
    <t>2.2 mg/dL</t>
  </si>
  <si>
    <t>4</t>
  </si>
  <si>
    <t>9.2 g/dL</t>
  </si>
  <si>
    <t xml:space="preserve">Pending AHTI and liver POC 
Cont. Primacor gtt- likely to dc home with it 
Needs ICD prior to dc </t>
  </si>
  <si>
    <t>Settoon, Laura Jean</t>
  </si>
  <si>
    <t>Possible liver bx
IV abx until 9/16
IV to PO bumex
Tacro 6.2 (5-7)
Siro 6.3 9 8-10)</t>
  </si>
  <si>
    <t>{"v1":[{"conversationId":1789425896321,"channelId":"19:cd113e4f562943088ecbfd92fdc4bcf6@thread.tacv2","teamId":"19:9eaeb20923484162a7dc1c2df00075bd@thread.tacv2"}]}</t>
  </si>
  <si>
    <t>5010496519054</t>
  </si>
  <si>
    <t>Follow-up — Sep 17, 2026 1:30 PM with Ahmad Bassam Amawi</t>
  </si>
  <si>
    <t>7.6 g/dL</t>
  </si>
  <si>
    <t xml:space="preserve">Penidng cardiac MRI and ABX completion </t>
  </si>
  <si>
    <t>Swift, Jason Adam</t>
  </si>
  <si>
    <t xml:space="preserve">Possible ablation 9/17
Sotalol loading </t>
  </si>
  <si>
    <t>5010496722893</t>
  </si>
  <si>
    <t>PCP — Sep 22, 2026 1:30 PM with Aftaab Sayeed Aliahmad</t>
  </si>
  <si>
    <t>15.6 g/dL</t>
  </si>
  <si>
    <t>27%</t>
  </si>
  <si>
    <t xml:space="preserve">ABX --&gt; 6/17 may be able to deescalate to PO pending ID sensitivities, INR therapeutic.
</t>
  </si>
  <si>
    <t>Malone, Debra M</t>
  </si>
  <si>
    <t xml:space="preserve">CABG 9/18 @1310
hep gtt
IV abx until 9/19
</t>
  </si>
  <si>
    <t>Private - DO NOT give info over the phone to anyone</t>
  </si>
  <si>
    <t>5010495787517</t>
  </si>
  <si>
    <t>2.8 mg/dL</t>
  </si>
  <si>
    <t>8.3 g/dL</t>
  </si>
  <si>
    <t>Laser lead extraction 6/15</t>
  </si>
  <si>
    <t>Varela Franco, Marcelino</t>
  </si>
  <si>
    <t xml:space="preserve">dobutamine gtt - weaning should be off by 9/15
</t>
  </si>
  <si>
    <t>5010492860315</t>
  </si>
  <si>
    <t>24%</t>
  </si>
  <si>
    <t xml:space="preserve">
INR 1.68- pending theraputic lvl, PO bumex, </t>
  </si>
  <si>
    <t xml:space="preserve">Pending EP to see </t>
  </si>
  <si>
    <t>Brown Thyme, Meranda Leanora</t>
  </si>
  <si>
    <t xml:space="preserve">CM to reeval 9/16 bc patient lives on 3rd floor apartment
Sternal WV 
IV to PO meds  </t>
  </si>
  <si>
    <t>5010495190643</t>
  </si>
  <si>
    <t>Follow-up — Sep 17, 2026 9:40 AM with Elyse Octave; Follow-up — Sep 23, 2026 11:00 AM with Alexandra Lackey; CT Surgery — Sep 30, 2026 9:00 AM with Syed Osman Ali</t>
  </si>
  <si>
    <t>9.0 g/dL</t>
  </si>
  <si>
    <t>16%</t>
  </si>
  <si>
    <t xml:space="preserve">Glucomander </t>
  </si>
  <si>
    <t>heparin gtt
Teeth extractions 9/16</t>
  </si>
  <si>
    <t>5010490479788</t>
  </si>
  <si>
    <t>15.9 g/dL</t>
  </si>
  <si>
    <t xml:space="preserve">IV abx 6/15
EP consult
</t>
  </si>
  <si>
    <t xml:space="preserve">Pending orders for tikosyn v sotalol dosing </t>
  </si>
  <si>
    <t>Ward, Charles</t>
  </si>
  <si>
    <t xml:space="preserve">Sotalol loading </t>
  </si>
  <si>
    <t>5010497191608</t>
  </si>
  <si>
    <t>Follow-up — Sep 21, 2026 1:40 PM with Pinkal Prafullbhai Patel</t>
  </si>
  <si>
    <t>4.8</t>
  </si>
  <si>
    <t>13.7 g/dL</t>
  </si>
  <si>
    <t xml:space="preserve">Andrew Watkins </t>
  </si>
  <si>
    <t>Casler, Donald Bruce</t>
  </si>
  <si>
    <t>RHC 9/15
Glucomander
PW to generator
CT x 1 
JP x 1
WV</t>
  </si>
  <si>
    <t>5010494109103</t>
  </si>
  <si>
    <t>7.8 g/dL</t>
  </si>
  <si>
    <t xml:space="preserve">Pending clearances, going with Rocephin via PICC at IDC. </t>
  </si>
  <si>
    <t>Dolon, Chomon</t>
  </si>
  <si>
    <t xml:space="preserve">IV to PO meds 
Needs DC plan </t>
  </si>
  <si>
    <t>5010493847018</t>
  </si>
  <si>
    <t>Follow-up — Sep 16, 2026 2:00 PM with Fl True Health</t>
  </si>
  <si>
    <t>0.5 mg/dL</t>
  </si>
  <si>
    <t>HD Cath Double Lumen</t>
  </si>
  <si>
    <t>Zilkia Ortiz Perez</t>
  </si>
  <si>
    <t>Void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</si>
</sst>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6" formatCode="[$-F800]dddd\,\ mmmm\ dd\,\ yyyy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entury Schoolbook"/>
      <family val="1"/>
      <scheme val="major"/>
    </font>
    <font>
      <b/>
      <sz val="14"/>
      <name val="Century Schoolbook"/>
      <family val="1"/>
      <scheme val="major"/>
    </font>
    <font>
      <b/>
      <sz val="16"/>
      <color theme="1"/>
      <name val="Century Schoolbook"/>
      <family val="1"/>
      <scheme val="major"/>
    </font>
    <font>
      <b/>
      <sz val="14"/>
      <color theme="1"/>
      <name val="Century Schoolbook"/>
      <family val="1"/>
      <scheme val="major"/>
    </font>
    <font>
      <b/>
      <sz val="14"/>
      <color rgb="FF000000"/>
      <name val="Century Schoolbook"/>
      <family val="1"/>
      <scheme val="maj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1"/>
      <name val="Century Schoolbook"/>
      <family val="1"/>
      <scheme val="major"/>
    </font>
    <font>
      <b/>
      <sz val="22"/>
      <color theme="1"/>
      <name val="Calibri"/>
      <family val="2"/>
      <scheme val="minor"/>
    </font>
    <font>
      <sz val="20"/>
      <color theme="1"/>
      <name val="Century Schoolbook"/>
      <family val="1"/>
      <scheme val="major"/>
    </font>
    <font>
      <b/>
      <sz val="18"/>
      <color theme="1"/>
      <name val="Century Schoolbook"/>
      <family val="1"/>
      <scheme val="major"/>
    </font>
    <font>
      <b/>
      <u/>
      <sz val="20"/>
      <color rgb="FFFF0000"/>
      <name val="Century Schoolbook"/>
      <family val="1"/>
      <scheme val="major"/>
    </font>
    <font>
      <b/>
      <sz val="10"/>
      <color theme="1"/>
      <name val="Calibri"/>
      <family val="2"/>
      <scheme val="minor"/>
    </font>
    <font>
      <b/>
      <sz val="10"/>
      <color theme="1"/>
      <name val="Century Schoolbook"/>
      <family val="1"/>
      <scheme val="maj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 Narrow"/>
      <family val="2"/>
    </font>
    <font>
      <b/>
      <sz val="10"/>
      <color theme="1"/>
      <name val="Arial Narrow"/>
      <family val="2"/>
    </font>
    <font>
      <sz val="20"/>
      <color theme="1"/>
      <name val="Arial"/>
      <family val="2"/>
    </font>
    <font>
      <b/>
      <sz val="20"/>
      <color rgb="FFFF0000"/>
      <name val="Arial"/>
      <family val="2"/>
    </font>
    <font>
      <b/>
      <sz val="20"/>
      <color theme="1"/>
      <name val="Arial"/>
      <family val="2"/>
    </font>
    <font>
      <sz val="14"/>
      <color theme="1"/>
      <name val="Arial"/>
      <family val="2"/>
    </font>
    <font>
      <sz val="22"/>
      <color theme="1"/>
      <name val="Arial"/>
      <family val="2"/>
    </font>
    <font>
      <b/>
      <sz val="16"/>
      <name val="Century Schoolbook"/>
      <family val="1"/>
      <scheme val="major"/>
    </font>
    <font>
      <b/>
      <sz val="12"/>
      <name val="Century Schoolbook"/>
      <family val="1"/>
      <scheme val="major"/>
    </font>
    <font>
      <b/>
      <sz val="14"/>
      <color rgb="FF000000"/>
      <name val="Century Schoolbook"/>
      <family val="1"/>
    </font>
    <font>
      <sz val="14"/>
      <color rgb="FF000000"/>
      <name val="Century Schoolbook"/>
      <family val="1"/>
    </font>
    <font>
      <b/>
      <sz val="20"/>
      <color theme="1"/>
      <name val="Century Schoolbook"/>
      <family val="1"/>
      <scheme val="major"/>
    </font>
    <font>
      <sz val="20"/>
      <color theme="1"/>
      <name val="Arial"/>
      <family val="2"/>
    </font>
    <font>
      <sz val="20"/>
      <color rgb="FFFF0000"/>
      <name val="Century Schoolbook"/>
      <family val="1"/>
      <scheme val="major"/>
    </font>
    <font>
      <b/>
      <sz val="12"/>
      <color rgb="FF000000"/>
      <name val="Century Schoolbook"/>
      <family val="1"/>
      <scheme val="major"/>
    </font>
    <font>
      <b/>
      <sz val="12"/>
      <color theme="1"/>
      <name val="Century Schoolbook"/>
      <family val="1"/>
      <scheme val="major"/>
    </font>
    <font>
      <sz val="14"/>
      <color rgb="FF000000"/>
      <name val="Century Schoolbook"/>
      <family val="1"/>
      <scheme val="major"/>
    </font>
    <font>
      <b/>
      <sz val="16"/>
      <color rgb="FF000000"/>
      <name val="Century Schoolbook"/>
      <family val="1"/>
      <scheme val="major"/>
    </font>
    <font>
      <b/>
      <sz val="20"/>
      <color rgb="FF000000"/>
      <name val="Century Schoolbook"/>
      <family val="1"/>
      <scheme val="major"/>
    </font>
    <font>
      <b/>
      <sz val="24"/>
      <color theme="1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theme="1"/>
      <name val="Century Schoolbook"/>
      <family val="1"/>
      <scheme val="major"/>
    </font>
    <font>
      <sz val="36"/>
      <color theme="1"/>
      <name val="Arial"/>
      <family val="2"/>
    </font>
    <font>
      <b/>
      <sz val="36"/>
      <color rgb="FFFF0000"/>
      <name val="Century Schoolbook"/>
      <family val="1"/>
      <scheme val="major"/>
    </font>
    <font>
      <u/>
      <sz val="36"/>
      <color theme="10"/>
      <name val="Calibri"/>
      <family val="2"/>
      <scheme val="minor"/>
    </font>
    <font>
      <b/>
      <sz val="32"/>
      <color theme="1"/>
      <name val="Arial"/>
      <family val="2"/>
    </font>
    <font>
      <u/>
      <sz val="20"/>
      <color theme="10"/>
      <name val="Calibri"/>
      <family val="2"/>
      <scheme val="minor"/>
    </font>
    <font>
      <b/>
      <sz val="14"/>
      <color rgb="FFFF0000"/>
      <name val="Century Schoolbook"/>
      <family val="1"/>
      <scheme val="major"/>
    </font>
    <font>
      <b/>
      <sz val="14"/>
      <color rgb="FFC00000"/>
      <name val="Century Schoolbook"/>
      <family val="1"/>
      <scheme val="major"/>
    </font>
    <font>
      <b/>
      <sz val="18"/>
      <name val="Calibri"/>
      <family val="2"/>
      <scheme val="minor"/>
    </font>
    <font>
      <sz val="16"/>
      <color rgb="FF000000"/>
      <name val="Century Schoolbook"/>
      <family val="1"/>
      <scheme val="major"/>
    </font>
    <font>
      <b/>
      <sz val="16"/>
      <color rgb="FFFF0000"/>
      <name val="Century Schoolbook"/>
      <family val="1"/>
      <scheme val="major"/>
    </font>
    <font>
      <b/>
      <sz val="16"/>
      <color rgb="FFC00000"/>
      <name val="Century Schoolbook"/>
      <family val="1"/>
      <scheme val="major"/>
    </font>
    <font>
      <b/>
      <sz val="18"/>
      <color rgb="FF000000"/>
      <name val="Century Schoolbook"/>
      <family val="1"/>
      <scheme val="major"/>
    </font>
    <font>
      <b/>
      <sz val="22"/>
      <color theme="0"/>
      <name val="Century Schoolbook"/>
      <family val="1"/>
      <scheme val="major"/>
    </font>
    <font>
      <b/>
      <sz val="18"/>
      <name val="Century Schoolbook"/>
      <family val="1"/>
      <scheme val="major"/>
    </font>
    <font>
      <b/>
      <sz val="22"/>
      <color theme="1"/>
      <name val="Century Schoolbook"/>
      <family val="1"/>
      <scheme val="major"/>
    </font>
    <font>
      <b/>
      <sz val="20"/>
      <name val="Century Schoolbook"/>
      <family val="1"/>
      <scheme val="major"/>
    </font>
    <font>
      <u/>
      <sz val="20"/>
      <color rgb="FF0070C0"/>
      <name val="Century Schoolbook"/>
      <family val="1"/>
      <scheme val="major"/>
    </font>
    <font>
      <sz val="14"/>
      <name val="Century Schoolbook"/>
      <family val="1"/>
      <scheme val="major"/>
    </font>
    <font>
      <b/>
      <u/>
      <sz val="18"/>
      <name val="Century Schoolbook"/>
      <family val="1"/>
      <scheme val="major"/>
    </font>
    <font>
      <b/>
      <u/>
      <sz val="18"/>
      <color rgb="FFFF0000"/>
      <name val="Century Schoolbook"/>
      <family val="1"/>
      <scheme val="major"/>
    </font>
    <font>
      <u/>
      <sz val="18"/>
      <name val="Century Schoolbook"/>
      <family val="1"/>
      <scheme val="major"/>
    </font>
    <font>
      <b/>
      <sz val="24"/>
      <color theme="0" tint="-4.9989318521683403E-2"/>
      <name val="Century Schoolbook"/>
      <family val="1"/>
      <scheme val="major"/>
    </font>
    <font>
      <b/>
      <sz val="14"/>
      <color theme="1"/>
      <name val="Century Schoolbook"/>
      <family val="1"/>
      <scheme val="major"/>
    </font>
    <font>
      <b/>
      <sz val="12"/>
      <color rgb="FFFF0000"/>
      <name val="Century Schoolbook"/>
      <family val="1"/>
      <scheme val="maj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Arial"/>
      <family val="2"/>
    </font>
    <font>
      <sz val="18"/>
      <color rgb="FF000000"/>
      <name val="Century Schoolbook"/>
      <family val="1"/>
      <scheme val="major"/>
    </font>
    <font>
      <sz val="20"/>
      <color theme="1"/>
      <name val="Arial"/>
      <family val="2"/>
    </font>
    <font>
      <b/>
      <sz val="24"/>
      <color rgb="FFFF0000"/>
      <name val="Century Schoolbook"/>
      <family val="1"/>
      <scheme val="major"/>
    </font>
    <font>
      <b/>
      <sz val="18"/>
      <color rgb="FFC00000"/>
      <name val="Century Schoolbook"/>
      <family val="1"/>
      <scheme val="major"/>
    </font>
    <font>
      <sz val="16"/>
      <color theme="1"/>
      <name val="Arial"/>
      <family val="2"/>
    </font>
    <font>
      <sz val="20"/>
      <color rgb="FF000000"/>
      <name val="Arial"/>
      <family val="2"/>
    </font>
    <font>
      <b/>
      <sz val="14"/>
      <color theme="1"/>
      <name val="Calisto MT"/>
      <family val="1"/>
    </font>
    <font>
      <b/>
      <sz val="14"/>
      <color rgb="FF000000"/>
      <name val="Calisto MT"/>
      <family val="1"/>
    </font>
    <font>
      <b/>
      <sz val="14"/>
      <color rgb="FFFF0000"/>
      <name val="Calisto MT"/>
      <family val="1"/>
    </font>
    <font>
      <sz val="14"/>
      <color theme="1"/>
      <name val="Calisto MT"/>
      <family val="1"/>
    </font>
    <font>
      <b/>
      <sz val="14"/>
      <name val="Calisto MT"/>
      <family val="1"/>
    </font>
    <font>
      <sz val="14"/>
      <color rgb="FF000000"/>
      <name val="Calisto MT"/>
      <family val="1"/>
    </font>
    <font>
      <b/>
      <sz val="18"/>
      <color rgb="FFFF0000"/>
      <name val="Century Schoolbook"/>
      <family val="1"/>
      <scheme val="major"/>
    </font>
    <font>
      <b/>
      <sz val="14"/>
      <color rgb="FF000000"/>
      <name val="Century Schoolbook"/>
    </font>
    <font>
      <sz val="14"/>
      <color rgb="FF000000"/>
      <name val="Century Schoolbook"/>
    </font>
    <font>
      <sz val="24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D1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9EEC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5EDC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BF6F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13" fillId="0" borderId="0" xfId="0" applyFont="1"/>
    <xf numFmtId="0" fontId="15" fillId="0" borderId="0" xfId="0" applyFont="1"/>
    <xf numFmtId="0" fontId="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6" fillId="0" borderId="0" xfId="0" applyFont="1"/>
    <xf numFmtId="0" fontId="25" fillId="0" borderId="0" xfId="0" applyFont="1" applyAlignment="1">
      <alignment vertical="center"/>
    </xf>
    <xf numFmtId="0" fontId="25" fillId="0" borderId="0" xfId="0" applyFont="1" applyAlignment="1">
      <alignment wrapText="1"/>
    </xf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0" fillId="0" borderId="0" xfId="0" applyAlignment="1">
      <alignment wrapText="1"/>
    </xf>
    <xf numFmtId="0" fontId="35" fillId="0" borderId="0" xfId="0" applyFont="1"/>
    <xf numFmtId="0" fontId="14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21" fillId="0" borderId="0" xfId="0" applyFont="1" applyProtection="1">
      <protection locked="0"/>
    </xf>
    <xf numFmtId="14" fontId="11" fillId="0" borderId="0" xfId="0" applyNumberFormat="1" applyFont="1" applyProtection="1"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top"/>
      <protection locked="0"/>
    </xf>
    <xf numFmtId="49" fontId="22" fillId="0" borderId="0" xfId="0" applyNumberFormat="1" applyFont="1" applyAlignment="1" applyProtection="1">
      <alignment wrapText="1"/>
      <protection locked="0"/>
    </xf>
    <xf numFmtId="0" fontId="23" fillId="7" borderId="0" xfId="0" applyFont="1" applyFill="1" applyProtection="1">
      <protection locked="0"/>
    </xf>
    <xf numFmtId="0" fontId="24" fillId="0" borderId="0" xfId="0" applyFont="1" applyProtection="1"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9" fillId="4" borderId="3" xfId="0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9" fillId="0" borderId="0" xfId="0" applyFont="1" applyAlignment="1" applyProtection="1">
      <alignment horizontal="left" wrapText="1"/>
      <protection locked="0"/>
    </xf>
    <xf numFmtId="0" fontId="20" fillId="0" borderId="0" xfId="0" applyFont="1" applyAlignment="1" applyProtection="1">
      <alignment horizontal="left" wrapText="1"/>
      <protection locked="0"/>
    </xf>
    <xf numFmtId="0" fontId="38" fillId="32" borderId="3" xfId="0" applyFont="1" applyFill="1" applyBorder="1" applyAlignment="1">
      <alignment horizontal="center" vertical="center" wrapText="1"/>
    </xf>
    <xf numFmtId="22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wrapText="1"/>
    </xf>
    <xf numFmtId="0" fontId="46" fillId="0" borderId="0" xfId="0" applyFont="1" applyAlignment="1" applyProtection="1">
      <alignment horizontal="fill"/>
      <protection locked="0"/>
    </xf>
    <xf numFmtId="0" fontId="46" fillId="0" borderId="0" xfId="0" applyFont="1" applyAlignment="1" applyProtection="1">
      <alignment horizontal="fill" vertical="center"/>
      <protection locked="0"/>
    </xf>
    <xf numFmtId="14" fontId="44" fillId="0" borderId="3" xfId="0" applyNumberFormat="1" applyFont="1" applyBorder="1" applyAlignment="1">
      <alignment horizontal="center" vertical="center" wrapText="1"/>
    </xf>
    <xf numFmtId="0" fontId="42" fillId="33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left"/>
    </xf>
    <xf numFmtId="0" fontId="43" fillId="0" borderId="0" xfId="4" applyFont="1" applyBorder="1" applyAlignment="1">
      <alignment horizontal="left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wrapText="1"/>
    </xf>
    <xf numFmtId="0" fontId="47" fillId="0" borderId="0" xfId="0" applyFont="1" applyAlignment="1">
      <alignment vertical="center"/>
    </xf>
    <xf numFmtId="0" fontId="48" fillId="0" borderId="0" xfId="0" applyFont="1"/>
    <xf numFmtId="0" fontId="48" fillId="0" borderId="0" xfId="0" applyFont="1" applyAlignment="1">
      <alignment vertical="center"/>
    </xf>
    <xf numFmtId="0" fontId="49" fillId="0" borderId="0" xfId="0" applyFont="1" applyAlignment="1">
      <alignment horizontal="left" vertical="center" wrapText="1"/>
    </xf>
    <xf numFmtId="0" fontId="49" fillId="0" borderId="0" xfId="0" applyFont="1" applyAlignment="1">
      <alignment horizontal="center" vertical="center" wrapText="1"/>
    </xf>
    <xf numFmtId="0" fontId="9" fillId="16" borderId="3" xfId="0" applyFont="1" applyFill="1" applyBorder="1" applyAlignment="1" applyProtection="1">
      <alignment horizontal="left" vertical="center" wrapText="1"/>
      <protection locked="0"/>
    </xf>
    <xf numFmtId="0" fontId="9" fillId="16" borderId="0" xfId="0" applyFont="1" applyFill="1" applyAlignment="1" applyProtection="1">
      <alignment horizontal="left" vertical="center" wrapText="1"/>
      <protection locked="0"/>
    </xf>
    <xf numFmtId="49" fontId="16" fillId="16" borderId="0" xfId="0" applyNumberFormat="1" applyFont="1" applyFill="1" applyAlignment="1" applyProtection="1">
      <alignment horizontal="center" vertical="center"/>
      <protection locked="0"/>
    </xf>
    <xf numFmtId="0" fontId="52" fillId="0" borderId="0" xfId="4" applyFont="1"/>
    <xf numFmtId="0" fontId="51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56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57" fillId="0" borderId="3" xfId="0" applyFont="1" applyBorder="1" applyAlignment="1">
      <alignment horizontal="center" vertical="center"/>
    </xf>
    <xf numFmtId="0" fontId="8" fillId="25" borderId="3" xfId="0" applyFont="1" applyFill="1" applyBorder="1" applyAlignment="1">
      <alignment vertical="center" wrapText="1"/>
    </xf>
    <xf numFmtId="0" fontId="57" fillId="0" borderId="0" xfId="0" applyFont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8" fillId="0" borderId="0" xfId="0" quotePrefix="1" applyFont="1" applyAlignment="1">
      <alignment vertical="center" wrapText="1"/>
    </xf>
    <xf numFmtId="0" fontId="25" fillId="34" borderId="0" xfId="0" applyFont="1" applyFill="1"/>
    <xf numFmtId="0" fontId="36" fillId="34" borderId="0" xfId="0" applyFont="1" applyFill="1"/>
    <xf numFmtId="0" fontId="15" fillId="34" borderId="0" xfId="0" applyFont="1" applyFill="1"/>
    <xf numFmtId="0" fontId="25" fillId="34" borderId="0" xfId="0" applyFont="1" applyFill="1" applyAlignment="1">
      <alignment vertical="center"/>
    </xf>
    <xf numFmtId="0" fontId="15" fillId="34" borderId="0" xfId="0" applyFont="1" applyFill="1" applyAlignment="1">
      <alignment horizontal="center"/>
    </xf>
    <xf numFmtId="0" fontId="29" fillId="34" borderId="0" xfId="0" applyFont="1" applyFill="1"/>
    <xf numFmtId="0" fontId="13" fillId="34" borderId="0" xfId="0" applyFont="1" applyFill="1" applyAlignment="1">
      <alignment vertical="center"/>
    </xf>
    <xf numFmtId="0" fontId="28" fillId="34" borderId="0" xfId="0" applyFont="1" applyFill="1" applyAlignment="1">
      <alignment vertical="center"/>
    </xf>
    <xf numFmtId="0" fontId="28" fillId="34" borderId="0" xfId="0" applyFont="1" applyFill="1"/>
    <xf numFmtId="14" fontId="8" fillId="21" borderId="3" xfId="0" applyNumberFormat="1" applyFont="1" applyFill="1" applyBorder="1" applyAlignment="1">
      <alignment horizontal="center" vertical="center" wrapText="1"/>
    </xf>
    <xf numFmtId="49" fontId="8" fillId="5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57" fillId="0" borderId="0" xfId="0" applyFont="1"/>
    <xf numFmtId="0" fontId="30" fillId="0" borderId="3" xfId="0" applyFont="1" applyBorder="1" applyAlignment="1">
      <alignment horizontal="center" vertical="center" wrapText="1"/>
    </xf>
    <xf numFmtId="0" fontId="9" fillId="20" borderId="3" xfId="0" applyFont="1" applyFill="1" applyBorder="1" applyAlignment="1">
      <alignment horizontal="center" vertical="center" wrapText="1"/>
    </xf>
    <xf numFmtId="0" fontId="9" fillId="32" borderId="3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left" vertical="center" wrapText="1"/>
    </xf>
    <xf numFmtId="0" fontId="9" fillId="4" borderId="3" xfId="0" applyFont="1" applyFill="1" applyBorder="1" applyAlignment="1">
      <alignment horizontal="left" vertical="center" wrapText="1"/>
    </xf>
    <xf numFmtId="0" fontId="39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39" fillId="7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9" fillId="0" borderId="3" xfId="0" applyFont="1" applyBorder="1" applyAlignment="1">
      <alignment horizontal="center" wrapText="1"/>
    </xf>
    <xf numFmtId="0" fontId="65" fillId="7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9" fillId="30" borderId="3" xfId="0" applyFont="1" applyFill="1" applyBorder="1" applyAlignment="1">
      <alignment vertical="center" wrapText="1"/>
    </xf>
    <xf numFmtId="0" fontId="51" fillId="34" borderId="0" xfId="0" applyFont="1" applyFill="1" applyAlignment="1">
      <alignment horizontal="center" vertical="center"/>
    </xf>
    <xf numFmtId="0" fontId="48" fillId="34" borderId="0" xfId="0" applyFont="1" applyFill="1" applyAlignment="1">
      <alignment vertical="center"/>
    </xf>
    <xf numFmtId="0" fontId="48" fillId="34" borderId="0" xfId="0" applyFont="1" applyFill="1"/>
    <xf numFmtId="0" fontId="28" fillId="34" borderId="0" xfId="0" applyFont="1" applyFill="1" applyAlignment="1">
      <alignment horizontal="center"/>
    </xf>
    <xf numFmtId="0" fontId="8" fillId="34" borderId="0" xfId="0" applyFont="1" applyFill="1" applyAlignment="1">
      <alignment vertical="center"/>
    </xf>
    <xf numFmtId="0" fontId="10" fillId="16" borderId="3" xfId="0" applyFont="1" applyFill="1" applyBorder="1" applyAlignment="1">
      <alignment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50" fillId="7" borderId="0" xfId="4" applyFont="1" applyFill="1" applyAlignment="1">
      <alignment vertical="center" wrapText="1"/>
    </xf>
    <xf numFmtId="49" fontId="10" fillId="0" borderId="3" xfId="0" applyNumberFormat="1" applyFont="1" applyBorder="1" applyAlignment="1" applyProtection="1">
      <alignment horizontal="left" vertical="center" wrapText="1"/>
      <protection locked="0"/>
    </xf>
    <xf numFmtId="0" fontId="70" fillId="0" borderId="0" xfId="0" applyFont="1" applyAlignment="1" applyProtection="1">
      <alignment textRotation="90" wrapText="1"/>
      <protection locked="0"/>
    </xf>
    <xf numFmtId="49" fontId="38" fillId="16" borderId="0" xfId="0" applyNumberFormat="1" applyFont="1" applyFill="1" applyAlignment="1" applyProtection="1">
      <alignment horizontal="center" vertical="center"/>
      <protection locked="0"/>
    </xf>
    <xf numFmtId="0" fontId="37" fillId="4" borderId="3" xfId="0" applyFont="1" applyFill="1" applyBorder="1" applyAlignment="1">
      <alignment horizontal="center" vertical="center" textRotation="90" wrapText="1"/>
    </xf>
    <xf numFmtId="0" fontId="31" fillId="12" borderId="3" xfId="0" applyFont="1" applyFill="1" applyBorder="1" applyAlignment="1">
      <alignment horizontal="center" vertical="center" textRotation="90" wrapText="1"/>
    </xf>
    <xf numFmtId="0" fontId="31" fillId="4" borderId="3" xfId="0" applyFont="1" applyFill="1" applyBorder="1" applyAlignment="1">
      <alignment horizontal="center" vertical="center" textRotation="90" wrapText="1"/>
    </xf>
    <xf numFmtId="14" fontId="38" fillId="14" borderId="3" xfId="0" applyNumberFormat="1" applyFont="1" applyFill="1" applyBorder="1" applyAlignment="1">
      <alignment horizontal="center" vertical="center" wrapText="1"/>
    </xf>
    <xf numFmtId="0" fontId="38" fillId="24" borderId="3" xfId="0" applyFont="1" applyFill="1" applyBorder="1" applyAlignment="1">
      <alignment horizontal="center" vertical="center" textRotation="90" wrapText="1"/>
    </xf>
    <xf numFmtId="0" fontId="31" fillId="13" borderId="3" xfId="0" applyFont="1" applyFill="1" applyBorder="1" applyAlignment="1">
      <alignment horizontal="center" vertical="center" textRotation="90" wrapText="1"/>
    </xf>
    <xf numFmtId="0" fontId="31" fillId="2" borderId="3" xfId="0" applyFont="1" applyFill="1" applyBorder="1" applyAlignment="1">
      <alignment horizontal="center" vertical="center" textRotation="90" wrapText="1"/>
    </xf>
    <xf numFmtId="0" fontId="38" fillId="17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7" borderId="3" xfId="0" applyFont="1" applyFill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14" fontId="12" fillId="0" borderId="3" xfId="0" applyNumberFormat="1" applyFont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>
      <alignment horizontal="center" vertical="center" textRotation="90" wrapText="1"/>
    </xf>
    <xf numFmtId="49" fontId="7" fillId="12" borderId="3" xfId="0" applyNumberFormat="1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vertical="center" wrapText="1"/>
    </xf>
    <xf numFmtId="0" fontId="9" fillId="0" borderId="0" xfId="0" applyFont="1" applyAlignment="1" applyProtection="1">
      <alignment horizontal="left" wrapText="1"/>
      <protection locked="0"/>
    </xf>
    <xf numFmtId="0" fontId="9" fillId="0" borderId="0" xfId="0" applyFont="1" applyAlignment="1" applyProtection="1">
      <alignment textRotation="90" wrapText="1"/>
      <protection locked="0"/>
    </xf>
    <xf numFmtId="14" fontId="9" fillId="0" borderId="0" xfId="0" applyNumberFormat="1" applyFont="1" applyAlignment="1" applyProtection="1">
      <alignment textRotation="90" wrapText="1"/>
      <protection locked="0"/>
    </xf>
    <xf numFmtId="16" fontId="9" fillId="30" borderId="14" xfId="0" applyNumberFormat="1" applyFont="1" applyFill="1" applyBorder="1" applyAlignment="1">
      <alignment vertical="center" wrapText="1"/>
    </xf>
    <xf numFmtId="0" fontId="71" fillId="7" borderId="3" xfId="0" applyFont="1" applyFill="1" applyBorder="1" applyAlignment="1" applyProtection="1">
      <alignment horizontal="left" vertical="center" wrapText="1"/>
      <protection locked="0"/>
    </xf>
    <xf numFmtId="0" fontId="74" fillId="0" borderId="9" xfId="0" applyFont="1" applyBorder="1" applyAlignment="1">
      <alignment horizontal="left" vertical="center"/>
    </xf>
    <xf numFmtId="0" fontId="40" fillId="7" borderId="3" xfId="0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/>
    </xf>
    <xf numFmtId="0" fontId="8" fillId="7" borderId="3" xfId="0" applyFont="1" applyFill="1" applyBorder="1" applyAlignment="1">
      <alignment horizontal="center" vertical="center" wrapText="1"/>
    </xf>
    <xf numFmtId="0" fontId="8" fillId="30" borderId="14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30" borderId="12" xfId="0" applyFont="1" applyFill="1" applyBorder="1" applyAlignment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77" fillId="7" borderId="3" xfId="0" applyFont="1" applyFill="1" applyBorder="1" applyAlignment="1">
      <alignment horizontal="center" vertical="center" wrapText="1"/>
    </xf>
    <xf numFmtId="16" fontId="24" fillId="0" borderId="0" xfId="0" applyNumberFormat="1" applyFont="1" applyAlignment="1" applyProtection="1">
      <alignment horizontal="center" vertical="center" wrapText="1"/>
      <protection locked="0"/>
    </xf>
    <xf numFmtId="0" fontId="75" fillId="0" borderId="3" xfId="0" applyFont="1" applyBorder="1" applyAlignment="1">
      <alignment horizontal="center" vertical="center" wrapText="1"/>
    </xf>
    <xf numFmtId="0" fontId="45" fillId="0" borderId="0" xfId="0" applyFont="1"/>
    <xf numFmtId="0" fontId="45" fillId="33" borderId="13" xfId="0" applyFont="1" applyFill="1" applyBorder="1" applyAlignment="1">
      <alignment horizontal="center" vertical="center"/>
    </xf>
    <xf numFmtId="0" fontId="45" fillId="33" borderId="25" xfId="0" applyFont="1" applyFill="1" applyBorder="1" applyAlignment="1">
      <alignment horizontal="center" vertical="center"/>
    </xf>
    <xf numFmtId="14" fontId="45" fillId="33" borderId="13" xfId="0" applyNumberFormat="1" applyFont="1" applyFill="1" applyBorder="1" applyAlignment="1">
      <alignment horizontal="center" vertical="center"/>
    </xf>
    <xf numFmtId="22" fontId="45" fillId="33" borderId="13" xfId="0" applyNumberFormat="1" applyFont="1" applyFill="1" applyBorder="1" applyAlignment="1">
      <alignment horizontal="center" vertical="center" wrapText="1"/>
    </xf>
    <xf numFmtId="22" fontId="45" fillId="33" borderId="13" xfId="0" applyNumberFormat="1" applyFont="1" applyFill="1" applyBorder="1" applyAlignment="1">
      <alignment horizontal="center" vertical="center"/>
    </xf>
    <xf numFmtId="0" fontId="45" fillId="33" borderId="23" xfId="0" applyFont="1" applyFill="1" applyBorder="1" applyAlignment="1">
      <alignment horizontal="center" vertical="center"/>
    </xf>
    <xf numFmtId="0" fontId="45" fillId="33" borderId="13" xfId="0" applyFont="1" applyFill="1" applyBorder="1" applyAlignment="1">
      <alignment horizontal="center" vertical="center" wrapText="1"/>
    </xf>
    <xf numFmtId="49" fontId="25" fillId="0" borderId="0" xfId="0" applyNumberFormat="1" applyFont="1" applyAlignment="1">
      <alignment horizontal="center"/>
    </xf>
    <xf numFmtId="0" fontId="79" fillId="0" borderId="0" xfId="0" applyFont="1" applyAlignment="1">
      <alignment horizontal="center" vertical="center"/>
    </xf>
    <xf numFmtId="0" fontId="45" fillId="23" borderId="25" xfId="0" applyFont="1" applyFill="1" applyBorder="1" applyAlignment="1">
      <alignment horizontal="center" vertical="center"/>
    </xf>
    <xf numFmtId="0" fontId="45" fillId="23" borderId="13" xfId="0" applyFont="1" applyFill="1" applyBorder="1" applyAlignment="1">
      <alignment horizontal="center" vertical="center" wrapText="1"/>
    </xf>
    <xf numFmtId="0" fontId="45" fillId="23" borderId="13" xfId="0" applyFont="1" applyFill="1" applyBorder="1" applyAlignment="1">
      <alignment horizontal="center" vertical="center"/>
    </xf>
    <xf numFmtId="0" fontId="45" fillId="25" borderId="13" xfId="0" applyFont="1" applyFill="1" applyBorder="1" applyAlignment="1">
      <alignment horizontal="center" vertical="center"/>
    </xf>
    <xf numFmtId="0" fontId="45" fillId="30" borderId="13" xfId="0" applyFont="1" applyFill="1" applyBorder="1" applyAlignment="1">
      <alignment horizontal="center" vertical="center"/>
    </xf>
    <xf numFmtId="22" fontId="45" fillId="25" borderId="13" xfId="0" applyNumberFormat="1" applyFont="1" applyFill="1" applyBorder="1" applyAlignment="1">
      <alignment horizontal="center" vertical="center"/>
    </xf>
    <xf numFmtId="0" fontId="45" fillId="29" borderId="13" xfId="0" applyFont="1" applyFill="1" applyBorder="1" applyAlignment="1">
      <alignment horizontal="center" vertical="center"/>
    </xf>
    <xf numFmtId="0" fontId="45" fillId="7" borderId="13" xfId="0" applyFont="1" applyFill="1" applyBorder="1" applyAlignment="1">
      <alignment horizontal="center" vertical="center"/>
    </xf>
    <xf numFmtId="0" fontId="45" fillId="2" borderId="13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43" fillId="0" borderId="11" xfId="4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31" xfId="0" applyBorder="1" applyAlignment="1">
      <alignment vertical="center"/>
    </xf>
    <xf numFmtId="14" fontId="0" fillId="0" borderId="19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49" fontId="9" fillId="16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vertical="center"/>
    </xf>
    <xf numFmtId="14" fontId="0" fillId="0" borderId="37" xfId="0" applyNumberFormat="1" applyBorder="1" applyAlignment="1">
      <alignment vertical="center"/>
    </xf>
    <xf numFmtId="49" fontId="56" fillId="0" borderId="3" xfId="0" applyNumberFormat="1" applyFont="1" applyBorder="1" applyAlignment="1">
      <alignment horizontal="center" vertical="center" wrapText="1"/>
    </xf>
    <xf numFmtId="0" fontId="80" fillId="0" borderId="0" xfId="0" applyFont="1"/>
    <xf numFmtId="0" fontId="10" fillId="0" borderId="3" xfId="0" applyFont="1" applyBorder="1" applyAlignment="1" applyProtection="1">
      <alignment horizontal="center" vertical="center"/>
      <protection locked="0"/>
    </xf>
    <xf numFmtId="16" fontId="75" fillId="0" borderId="3" xfId="0" applyNumberFormat="1" applyFont="1" applyBorder="1" applyAlignment="1">
      <alignment horizontal="center" vertical="center" wrapText="1"/>
    </xf>
    <xf numFmtId="49" fontId="10" fillId="11" borderId="3" xfId="0" applyNumberFormat="1" applyFont="1" applyFill="1" applyBorder="1" applyAlignment="1" applyProtection="1">
      <alignment horizontal="left" vertical="center" wrapText="1"/>
      <protection locked="0"/>
    </xf>
    <xf numFmtId="0" fontId="7" fillId="35" borderId="3" xfId="0" applyFont="1" applyFill="1" applyBorder="1" applyAlignment="1" applyProtection="1">
      <alignment horizontal="center" vertical="center"/>
      <protection locked="0"/>
    </xf>
    <xf numFmtId="0" fontId="10" fillId="35" borderId="3" xfId="0" applyFont="1" applyFill="1" applyBorder="1" applyAlignment="1" applyProtection="1">
      <alignment horizontal="left" vertical="center" wrapText="1"/>
      <protection locked="0"/>
    </xf>
    <xf numFmtId="0" fontId="7" fillId="36" borderId="3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17" fillId="11" borderId="0" xfId="4" applyFont="1" applyFill="1" applyAlignment="1" applyProtection="1">
      <alignment horizontal="center" vertical="center"/>
      <protection locked="0"/>
    </xf>
    <xf numFmtId="166" fontId="16" fillId="9" borderId="1" xfId="0" applyNumberFormat="1" applyFont="1" applyFill="1" applyBorder="1" applyAlignment="1" applyProtection="1">
      <alignment horizontal="center" vertical="center"/>
      <protection locked="0"/>
    </xf>
    <xf numFmtId="0" fontId="16" fillId="9" borderId="27" xfId="0" applyFont="1" applyFill="1" applyBorder="1" applyAlignment="1">
      <alignment horizontal="center" vertical="center"/>
    </xf>
    <xf numFmtId="14" fontId="62" fillId="9" borderId="35" xfId="0" applyNumberFormat="1" applyFont="1" applyFill="1" applyBorder="1" applyAlignment="1" applyProtection="1">
      <alignment horizontal="center" vertical="center" wrapText="1"/>
      <protection locked="0"/>
    </xf>
    <xf numFmtId="49" fontId="16" fillId="16" borderId="3" xfId="0" applyNumberFormat="1" applyFont="1" applyFill="1" applyBorder="1" applyAlignment="1" applyProtection="1">
      <alignment horizontal="center" vertical="center"/>
      <protection locked="0"/>
    </xf>
    <xf numFmtId="14" fontId="85" fillId="0" borderId="14" xfId="0" applyNumberFormat="1" applyFont="1" applyBorder="1" applyAlignment="1">
      <alignment horizontal="left" vertical="center" wrapText="1"/>
    </xf>
    <xf numFmtId="14" fontId="85" fillId="0" borderId="12" xfId="0" applyNumberFormat="1" applyFont="1" applyBorder="1" applyAlignment="1">
      <alignment horizontal="left" vertical="center" wrapText="1"/>
    </xf>
    <xf numFmtId="0" fontId="81" fillId="0" borderId="9" xfId="0" applyFont="1" applyBorder="1" applyAlignment="1">
      <alignment vertical="center"/>
    </xf>
    <xf numFmtId="0" fontId="84" fillId="0" borderId="12" xfId="0" applyFont="1" applyBorder="1" applyAlignment="1">
      <alignment vertical="center"/>
    </xf>
    <xf numFmtId="0" fontId="58" fillId="0" borderId="3" xfId="0" applyFont="1" applyBorder="1" applyAlignment="1">
      <alignment horizontal="left" vertical="center" wrapText="1"/>
    </xf>
    <xf numFmtId="0" fontId="78" fillId="0" borderId="3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9" fillId="19" borderId="14" xfId="0" applyFont="1" applyFill="1" applyBorder="1" applyAlignment="1">
      <alignment horizontal="center" vertical="center" wrapText="1"/>
    </xf>
    <xf numFmtId="0" fontId="9" fillId="19" borderId="12" xfId="0" applyFont="1" applyFill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8" fillId="30" borderId="27" xfId="0" applyFont="1" applyFill="1" applyBorder="1" applyAlignment="1">
      <alignment horizontal="left" vertical="center"/>
    </xf>
    <xf numFmtId="0" fontId="8" fillId="30" borderId="0" xfId="0" applyFont="1" applyFill="1" applyAlignment="1">
      <alignment horizontal="left" vertical="center"/>
    </xf>
    <xf numFmtId="0" fontId="8" fillId="30" borderId="29" xfId="0" applyFont="1" applyFill="1" applyBorder="1" applyAlignment="1">
      <alignment horizontal="left" vertical="center"/>
    </xf>
    <xf numFmtId="0" fontId="39" fillId="0" borderId="12" xfId="0" applyFont="1" applyBorder="1" applyAlignment="1">
      <alignment horizontal="left" vertical="center" wrapText="1"/>
    </xf>
    <xf numFmtId="0" fontId="81" fillId="0" borderId="9" xfId="0" applyFont="1" applyBorder="1" applyAlignment="1">
      <alignment horizontal="left" vertical="center"/>
    </xf>
    <xf numFmtId="0" fontId="84" fillId="0" borderId="12" xfId="0" applyFont="1" applyBorder="1" applyAlignment="1">
      <alignment horizontal="left" vertical="center"/>
    </xf>
    <xf numFmtId="0" fontId="13" fillId="34" borderId="6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/>
    </xf>
    <xf numFmtId="0" fontId="13" fillId="34" borderId="5" xfId="0" applyFont="1" applyFill="1" applyBorder="1" applyAlignment="1">
      <alignment horizontal="center" vertical="center"/>
    </xf>
    <xf numFmtId="0" fontId="54" fillId="0" borderId="14" xfId="0" applyFont="1" applyBorder="1" applyAlignment="1">
      <alignment horizontal="left" vertical="top" wrapText="1"/>
    </xf>
    <xf numFmtId="0" fontId="54" fillId="0" borderId="9" xfId="0" applyFont="1" applyBorder="1" applyAlignment="1">
      <alignment horizontal="left" vertical="top" wrapText="1"/>
    </xf>
    <xf numFmtId="0" fontId="54" fillId="0" borderId="12" xfId="0" applyFont="1" applyBorder="1" applyAlignment="1">
      <alignment horizontal="left" vertical="top" wrapText="1"/>
    </xf>
    <xf numFmtId="0" fontId="40" fillId="6" borderId="14" xfId="0" applyFont="1" applyFill="1" applyBorder="1" applyAlignment="1">
      <alignment horizontal="center" vertical="center"/>
    </xf>
    <xf numFmtId="0" fontId="40" fillId="6" borderId="9" xfId="0" applyFont="1" applyFill="1" applyBorder="1" applyAlignment="1">
      <alignment horizontal="center" vertical="center"/>
    </xf>
    <xf numFmtId="0" fontId="40" fillId="6" borderId="12" xfId="0" applyFont="1" applyFill="1" applyBorder="1" applyAlignment="1">
      <alignment horizontal="center" vertical="center"/>
    </xf>
    <xf numFmtId="0" fontId="57" fillId="23" borderId="27" xfId="0" applyFont="1" applyFill="1" applyBorder="1" applyAlignment="1">
      <alignment horizontal="center" vertical="center" wrapText="1"/>
    </xf>
    <xf numFmtId="0" fontId="57" fillId="23" borderId="29" xfId="0" quotePrefix="1" applyFont="1" applyFill="1" applyBorder="1" applyAlignment="1">
      <alignment horizontal="center" vertical="center" wrapText="1"/>
    </xf>
    <xf numFmtId="0" fontId="57" fillId="23" borderId="24" xfId="0" applyFont="1" applyFill="1" applyBorder="1" applyAlignment="1">
      <alignment horizontal="center" vertical="center" wrapText="1"/>
    </xf>
    <xf numFmtId="0" fontId="57" fillId="23" borderId="32" xfId="0" quotePrefix="1" applyFont="1" applyFill="1" applyBorder="1" applyAlignment="1">
      <alignment horizontal="center" vertical="center" wrapText="1"/>
    </xf>
    <xf numFmtId="0" fontId="57" fillId="23" borderId="20" xfId="0" applyFont="1" applyFill="1" applyBorder="1" applyAlignment="1">
      <alignment horizontal="center" vertical="center" wrapText="1"/>
    </xf>
    <xf numFmtId="0" fontId="57" fillId="23" borderId="15" xfId="0" quotePrefix="1" applyFont="1" applyFill="1" applyBorder="1" applyAlignment="1">
      <alignment horizontal="center" vertical="center" wrapText="1"/>
    </xf>
    <xf numFmtId="0" fontId="8" fillId="19" borderId="14" xfId="0" applyFont="1" applyFill="1" applyBorder="1" applyAlignment="1">
      <alignment horizontal="center" vertical="center" wrapText="1"/>
    </xf>
    <xf numFmtId="0" fontId="8" fillId="19" borderId="12" xfId="0" applyFont="1" applyFill="1" applyBorder="1" applyAlignment="1">
      <alignment horizontal="center" vertical="center" wrapText="1"/>
    </xf>
    <xf numFmtId="0" fontId="57" fillId="0" borderId="14" xfId="0" applyFont="1" applyBorder="1" applyAlignment="1">
      <alignment horizontal="left" vertical="center" wrapText="1"/>
    </xf>
    <xf numFmtId="0" fontId="57" fillId="0" borderId="12" xfId="0" applyFont="1" applyBorder="1" applyAlignment="1">
      <alignment horizontal="left" vertical="center" wrapText="1"/>
    </xf>
    <xf numFmtId="14" fontId="57" fillId="0" borderId="14" xfId="0" applyNumberFormat="1" applyFont="1" applyBorder="1" applyAlignment="1">
      <alignment horizontal="left" vertical="center" wrapText="1"/>
    </xf>
    <xf numFmtId="14" fontId="57" fillId="0" borderId="12" xfId="0" applyNumberFormat="1" applyFont="1" applyBorder="1" applyAlignment="1">
      <alignment horizontal="left" vertical="center" wrapText="1"/>
    </xf>
    <xf numFmtId="16" fontId="85" fillId="0" borderId="14" xfId="0" applyNumberFormat="1" applyFont="1" applyBorder="1" applyAlignment="1">
      <alignment horizontal="left" vertical="center" wrapText="1"/>
    </xf>
    <xf numFmtId="16" fontId="83" fillId="0" borderId="12" xfId="0" applyNumberFormat="1" applyFont="1" applyBorder="1" applyAlignment="1">
      <alignment horizontal="left" vertical="center" wrapText="1"/>
    </xf>
    <xf numFmtId="0" fontId="9" fillId="3" borderId="6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64" fillId="6" borderId="24" xfId="4" applyFont="1" applyFill="1" applyBorder="1" applyAlignment="1">
      <alignment horizontal="center" vertical="center" wrapText="1"/>
    </xf>
    <xf numFmtId="0" fontId="64" fillId="6" borderId="0" xfId="4" applyFont="1" applyFill="1" applyBorder="1" applyAlignment="1">
      <alignment horizontal="center" vertical="center" wrapText="1"/>
    </xf>
    <xf numFmtId="0" fontId="64" fillId="6" borderId="32" xfId="4" applyFont="1" applyFill="1" applyBorder="1" applyAlignment="1">
      <alignment horizontal="center" vertical="center" wrapText="1"/>
    </xf>
    <xf numFmtId="0" fontId="64" fillId="6" borderId="20" xfId="4" applyFont="1" applyFill="1" applyBorder="1" applyAlignment="1">
      <alignment horizontal="center" vertical="center" wrapText="1"/>
    </xf>
    <xf numFmtId="0" fontId="64" fillId="6" borderId="28" xfId="4" applyFont="1" applyFill="1" applyBorder="1" applyAlignment="1">
      <alignment horizontal="center" vertical="center" wrapText="1"/>
    </xf>
    <xf numFmtId="0" fontId="64" fillId="6" borderId="15" xfId="4" applyFont="1" applyFill="1" applyBorder="1" applyAlignment="1">
      <alignment horizontal="center" vertical="center" wrapText="1"/>
    </xf>
    <xf numFmtId="0" fontId="63" fillId="22" borderId="24" xfId="0" applyFont="1" applyFill="1" applyBorder="1" applyAlignment="1">
      <alignment horizontal="center" vertical="center"/>
    </xf>
    <xf numFmtId="0" fontId="63" fillId="22" borderId="0" xfId="0" applyFont="1" applyFill="1" applyAlignment="1">
      <alignment horizontal="center" vertical="center"/>
    </xf>
    <xf numFmtId="0" fontId="63" fillId="22" borderId="32" xfId="0" applyFont="1" applyFill="1" applyBorder="1" applyAlignment="1">
      <alignment horizontal="center" vertical="center"/>
    </xf>
    <xf numFmtId="14" fontId="82" fillId="0" borderId="14" xfId="0" applyNumberFormat="1" applyFont="1" applyBorder="1" applyAlignment="1">
      <alignment horizontal="left" vertical="center" wrapText="1"/>
    </xf>
    <xf numFmtId="14" fontId="83" fillId="0" borderId="12" xfId="0" applyNumberFormat="1" applyFont="1" applyBorder="1" applyAlignment="1">
      <alignment horizontal="left" vertical="center" wrapText="1"/>
    </xf>
    <xf numFmtId="0" fontId="8" fillId="30" borderId="14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30" borderId="12" xfId="0" applyFont="1" applyFill="1" applyBorder="1" applyAlignment="1">
      <alignment horizontal="center" vertical="center"/>
    </xf>
    <xf numFmtId="0" fontId="68" fillId="27" borderId="0" xfId="4" applyFont="1" applyFill="1" applyBorder="1" applyAlignment="1">
      <alignment horizontal="center" vertical="center" wrapText="1"/>
    </xf>
    <xf numFmtId="49" fontId="10" fillId="0" borderId="14" xfId="0" applyNumberFormat="1" applyFont="1" applyBorder="1" applyAlignment="1">
      <alignment horizontal="center" vertical="center"/>
    </xf>
    <xf numFmtId="49" fontId="56" fillId="0" borderId="9" xfId="0" applyNumberFormat="1" applyFont="1" applyBorder="1" applyAlignment="1">
      <alignment horizontal="center" vertical="center"/>
    </xf>
    <xf numFmtId="0" fontId="10" fillId="7" borderId="3" xfId="0" quotePrefix="1" applyFont="1" applyFill="1" applyBorder="1" applyAlignment="1">
      <alignment horizontal="left" vertical="center" wrapText="1"/>
    </xf>
    <xf numFmtId="0" fontId="53" fillId="7" borderId="3" xfId="0" quotePrefix="1" applyFont="1" applyFill="1" applyBorder="1" applyAlignment="1">
      <alignment horizontal="left" vertical="center" wrapText="1"/>
    </xf>
    <xf numFmtId="0" fontId="8" fillId="25" borderId="3" xfId="0" applyFont="1" applyFill="1" applyBorder="1" applyAlignment="1">
      <alignment horizontal="left" vertical="center" wrapText="1"/>
    </xf>
    <xf numFmtId="17" fontId="30" fillId="0" borderId="14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66" fillId="8" borderId="24" xfId="4" applyFont="1" applyFill="1" applyBorder="1" applyAlignment="1">
      <alignment horizontal="center" vertical="center" wrapText="1"/>
    </xf>
    <xf numFmtId="0" fontId="66" fillId="8" borderId="0" xfId="4" applyFont="1" applyFill="1" applyBorder="1" applyAlignment="1">
      <alignment horizontal="center" vertical="center" wrapText="1"/>
    </xf>
    <xf numFmtId="0" fontId="67" fillId="11" borderId="24" xfId="4" applyFont="1" applyFill="1" applyBorder="1" applyAlignment="1">
      <alignment horizontal="center" vertical="center" wrapText="1"/>
    </xf>
    <xf numFmtId="0" fontId="67" fillId="11" borderId="0" xfId="4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17" fontId="54" fillId="0" borderId="14" xfId="0" applyNumberFormat="1" applyFont="1" applyBorder="1" applyAlignment="1">
      <alignment horizontal="left" vertical="top"/>
    </xf>
    <xf numFmtId="17" fontId="54" fillId="0" borderId="9" xfId="0" applyNumberFormat="1" applyFont="1" applyBorder="1" applyAlignment="1">
      <alignment horizontal="left" vertical="top"/>
    </xf>
    <xf numFmtId="17" fontId="54" fillId="0" borderId="12" xfId="0" applyNumberFormat="1" applyFont="1" applyBorder="1" applyAlignment="1">
      <alignment horizontal="left" vertical="top"/>
    </xf>
    <xf numFmtId="0" fontId="7" fillId="33" borderId="14" xfId="0" quotePrefix="1" applyFont="1" applyFill="1" applyBorder="1" applyAlignment="1">
      <alignment horizontal="left" vertical="top" wrapText="1"/>
    </xf>
    <xf numFmtId="0" fontId="7" fillId="33" borderId="9" xfId="0" quotePrefix="1" applyFont="1" applyFill="1" applyBorder="1" applyAlignment="1">
      <alignment horizontal="left" vertical="top" wrapText="1"/>
    </xf>
    <xf numFmtId="0" fontId="7" fillId="33" borderId="12" xfId="0" quotePrefix="1" applyFont="1" applyFill="1" applyBorder="1" applyAlignment="1">
      <alignment horizontal="left" vertical="top" wrapText="1"/>
    </xf>
    <xf numFmtId="0" fontId="9" fillId="5" borderId="14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10" fillId="6" borderId="14" xfId="0" quotePrefix="1" applyFont="1" applyFill="1" applyBorder="1" applyAlignment="1">
      <alignment horizontal="left" vertical="top" wrapText="1"/>
    </xf>
    <xf numFmtId="0" fontId="10" fillId="6" borderId="9" xfId="0" quotePrefix="1" applyFont="1" applyFill="1" applyBorder="1" applyAlignment="1">
      <alignment horizontal="left" vertical="top" wrapText="1"/>
    </xf>
    <xf numFmtId="0" fontId="10" fillId="6" borderId="12" xfId="0" quotePrefix="1" applyFont="1" applyFill="1" applyBorder="1" applyAlignment="1">
      <alignment horizontal="left" vertical="top" wrapText="1"/>
    </xf>
    <xf numFmtId="0" fontId="7" fillId="29" borderId="14" xfId="0" quotePrefix="1" applyFont="1" applyFill="1" applyBorder="1" applyAlignment="1">
      <alignment horizontal="left" vertical="top" wrapText="1"/>
    </xf>
    <xf numFmtId="0" fontId="7" fillId="29" borderId="9" xfId="0" quotePrefix="1" applyFont="1" applyFill="1" applyBorder="1" applyAlignment="1">
      <alignment horizontal="left" vertical="top" wrapText="1"/>
    </xf>
    <xf numFmtId="0" fontId="7" fillId="29" borderId="12" xfId="0" quotePrefix="1" applyFont="1" applyFill="1" applyBorder="1" applyAlignment="1">
      <alignment horizontal="left" vertical="top" wrapText="1"/>
    </xf>
    <xf numFmtId="0" fontId="34" fillId="4" borderId="3" xfId="0" applyFont="1" applyFill="1" applyBorder="1" applyAlignment="1">
      <alignment horizontal="center" vertical="center"/>
    </xf>
    <xf numFmtId="0" fontId="56" fillId="0" borderId="21" xfId="0" applyFont="1" applyBorder="1" applyAlignment="1">
      <alignment vertical="center" wrapText="1"/>
    </xf>
    <xf numFmtId="0" fontId="40" fillId="7" borderId="21" xfId="0" applyFont="1" applyFill="1" applyBorder="1" applyAlignment="1">
      <alignment horizontal="left" vertical="center" wrapText="1"/>
    </xf>
    <xf numFmtId="0" fontId="40" fillId="34" borderId="6" xfId="0" applyFont="1" applyFill="1" applyBorder="1" applyAlignment="1">
      <alignment horizontal="center" vertical="center"/>
    </xf>
    <xf numFmtId="0" fontId="40" fillId="34" borderId="13" xfId="0" applyFont="1" applyFill="1" applyBorder="1" applyAlignment="1">
      <alignment horizontal="center" vertical="center"/>
    </xf>
    <xf numFmtId="0" fontId="40" fillId="34" borderId="5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87" fillId="7" borderId="3" xfId="0" applyFont="1" applyFill="1" applyBorder="1" applyAlignment="1">
      <alignment horizontal="left" vertical="center" wrapText="1"/>
    </xf>
    <xf numFmtId="0" fontId="5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41" fillId="7" borderId="3" xfId="0" applyFont="1" applyFill="1" applyBorder="1" applyAlignment="1">
      <alignment horizontal="left" vertical="center" wrapText="1"/>
    </xf>
    <xf numFmtId="0" fontId="30" fillId="7" borderId="3" xfId="0" applyFont="1" applyFill="1" applyBorder="1" applyAlignment="1">
      <alignment horizontal="left" vertical="center" wrapText="1"/>
    </xf>
    <xf numFmtId="0" fontId="13" fillId="0" borderId="0" xfId="0" applyFont="1" applyAlignment="1">
      <alignment vertical="center"/>
    </xf>
    <xf numFmtId="0" fontId="40" fillId="0" borderId="21" xfId="0" applyFont="1" applyBorder="1" applyAlignment="1">
      <alignment vertical="center" wrapText="1"/>
    </xf>
    <xf numFmtId="0" fontId="40" fillId="0" borderId="0" xfId="0" applyFont="1" applyAlignment="1">
      <alignment vertical="center"/>
    </xf>
    <xf numFmtId="0" fontId="40" fillId="0" borderId="22" xfId="0" applyFont="1" applyBorder="1" applyAlignment="1">
      <alignment vertical="center" wrapText="1"/>
    </xf>
    <xf numFmtId="3" fontId="75" fillId="0" borderId="14" xfId="0" applyNumberFormat="1" applyFont="1" applyBorder="1" applyAlignment="1">
      <alignment horizontal="left" vertical="center" wrapText="1"/>
    </xf>
    <xf numFmtId="0" fontId="58" fillId="0" borderId="9" xfId="0" applyFont="1" applyBorder="1" applyAlignment="1">
      <alignment horizontal="left" vertical="center" wrapText="1"/>
    </xf>
    <xf numFmtId="0" fontId="58" fillId="0" borderId="12" xfId="0" applyFont="1" applyBorder="1" applyAlignment="1">
      <alignment horizontal="left" vertical="center" wrapText="1"/>
    </xf>
    <xf numFmtId="0" fontId="33" fillId="0" borderId="0" xfId="0" applyFont="1"/>
    <xf numFmtId="0" fontId="57" fillId="11" borderId="3" xfId="0" applyFont="1" applyFill="1" applyBorder="1" applyAlignment="1">
      <alignment vertical="center" wrapText="1"/>
    </xf>
    <xf numFmtId="0" fontId="58" fillId="7" borderId="3" xfId="0" applyFont="1" applyFill="1" applyBorder="1" applyAlignment="1">
      <alignment horizontal="center" vertical="center" wrapText="1"/>
    </xf>
    <xf numFmtId="0" fontId="25" fillId="0" borderId="0" xfId="0" applyFont="1"/>
    <xf numFmtId="0" fontId="60" fillId="10" borderId="24" xfId="0" applyFont="1" applyFill="1" applyBorder="1" applyAlignment="1">
      <alignment horizontal="center" vertical="center" wrapText="1"/>
    </xf>
    <xf numFmtId="0" fontId="60" fillId="10" borderId="0" xfId="0" applyFont="1" applyFill="1" applyAlignment="1">
      <alignment horizontal="center" vertical="center" wrapText="1"/>
    </xf>
    <xf numFmtId="0" fontId="60" fillId="10" borderId="20" xfId="0" applyFont="1" applyFill="1" applyBorder="1" applyAlignment="1">
      <alignment horizontal="center" vertical="center" wrapText="1"/>
    </xf>
    <xf numFmtId="0" fontId="60" fillId="10" borderId="28" xfId="0" applyFont="1" applyFill="1" applyBorder="1" applyAlignment="1">
      <alignment horizontal="center" vertical="center" wrapText="1"/>
    </xf>
    <xf numFmtId="0" fontId="40" fillId="11" borderId="14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 wrapText="1"/>
    </xf>
    <xf numFmtId="0" fontId="55" fillId="0" borderId="14" xfId="4" applyFont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center" wrapText="1"/>
    </xf>
    <xf numFmtId="0" fontId="69" fillId="18" borderId="3" xfId="0" applyFont="1" applyFill="1" applyBorder="1" applyAlignment="1">
      <alignment horizontal="center" vertical="center" wrapText="1"/>
    </xf>
    <xf numFmtId="0" fontId="82" fillId="0" borderId="0" xfId="0" applyFont="1"/>
    <xf numFmtId="0" fontId="84" fillId="0" borderId="15" xfId="0" applyFont="1" applyBorder="1" applyAlignment="1">
      <alignment horizontal="left" vertical="center"/>
    </xf>
    <xf numFmtId="0" fontId="82" fillId="0" borderId="14" xfId="0" applyFont="1" applyBorder="1" applyAlignment="1">
      <alignment horizontal="left" vertical="center" wrapText="1"/>
    </xf>
    <xf numFmtId="0" fontId="86" fillId="0" borderId="12" xfId="0" applyFont="1" applyBorder="1" applyAlignment="1">
      <alignment horizontal="left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65" fillId="0" borderId="14" xfId="0" applyFont="1" applyBorder="1" applyAlignment="1">
      <alignment horizontal="left" vertical="center" wrapText="1"/>
    </xf>
    <xf numFmtId="0" fontId="65" fillId="0" borderId="12" xfId="0" applyFont="1" applyBorder="1" applyAlignment="1">
      <alignment horizontal="left" vertical="center" wrapText="1"/>
    </xf>
    <xf numFmtId="166" fontId="59" fillId="6" borderId="14" xfId="0" applyNumberFormat="1" applyFont="1" applyFill="1" applyBorder="1" applyAlignment="1">
      <alignment horizontal="center" vertical="center" wrapText="1"/>
    </xf>
    <xf numFmtId="166" fontId="59" fillId="6" borderId="12" xfId="0" applyNumberFormat="1" applyFont="1" applyFill="1" applyBorder="1" applyAlignment="1">
      <alignment horizontal="center" vertical="center" wrapText="1"/>
    </xf>
    <xf numFmtId="16" fontId="73" fillId="0" borderId="14" xfId="0" applyNumberFormat="1" applyFont="1" applyBorder="1" applyAlignment="1">
      <alignment horizontal="left" vertical="center" wrapText="1"/>
    </xf>
    <xf numFmtId="16" fontId="72" fillId="0" borderId="12" xfId="0" applyNumberFormat="1" applyFont="1" applyBorder="1" applyAlignment="1">
      <alignment horizontal="left" vertical="center" wrapText="1"/>
    </xf>
    <xf numFmtId="0" fontId="73" fillId="0" borderId="14" xfId="0" applyFont="1" applyBorder="1" applyAlignment="1">
      <alignment horizontal="left" vertical="center" wrapText="1"/>
    </xf>
    <xf numFmtId="0" fontId="72" fillId="0" borderId="12" xfId="0" applyFont="1" applyBorder="1" applyAlignment="1">
      <alignment horizontal="left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wrapText="1"/>
    </xf>
    <xf numFmtId="0" fontId="61" fillId="15" borderId="14" xfId="0" applyFont="1" applyFill="1" applyBorder="1" applyAlignment="1">
      <alignment horizontal="center" vertical="center" wrapText="1"/>
    </xf>
    <xf numFmtId="0" fontId="61" fillId="15" borderId="12" xfId="0" applyFont="1" applyFill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top" wrapText="1"/>
    </xf>
    <xf numFmtId="0" fontId="58" fillId="0" borderId="9" xfId="0" applyFont="1" applyBorder="1" applyAlignment="1">
      <alignment horizontal="center" vertical="top" wrapText="1"/>
    </xf>
    <xf numFmtId="0" fontId="58" fillId="0" borderId="12" xfId="0" applyFont="1" applyBorder="1" applyAlignment="1">
      <alignment horizontal="center" vertical="top" wrapText="1"/>
    </xf>
    <xf numFmtId="0" fontId="56" fillId="7" borderId="14" xfId="0" applyFont="1" applyFill="1" applyBorder="1" applyAlignment="1">
      <alignment horizontal="center" vertical="center" wrapText="1"/>
    </xf>
    <xf numFmtId="0" fontId="56" fillId="7" borderId="12" xfId="0" applyFont="1" applyFill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8" fillId="31" borderId="27" xfId="0" applyFont="1" applyFill="1" applyBorder="1" applyAlignment="1">
      <alignment horizontal="center" vertical="center"/>
    </xf>
    <xf numFmtId="0" fontId="8" fillId="31" borderId="26" xfId="0" applyFont="1" applyFill="1" applyBorder="1" applyAlignment="1">
      <alignment horizontal="center" vertical="center"/>
    </xf>
    <xf numFmtId="0" fontId="8" fillId="31" borderId="29" xfId="0" applyFont="1" applyFill="1" applyBorder="1" applyAlignment="1">
      <alignment horizontal="center" vertical="center"/>
    </xf>
    <xf numFmtId="0" fontId="8" fillId="31" borderId="20" xfId="0" applyFont="1" applyFill="1" applyBorder="1" applyAlignment="1">
      <alignment horizontal="center" vertical="center"/>
    </xf>
    <xf numFmtId="0" fontId="8" fillId="31" borderId="28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10" fillId="28" borderId="14" xfId="0" applyFont="1" applyFill="1" applyBorder="1" applyAlignment="1">
      <alignment horizontal="center" vertical="center" wrapText="1"/>
    </xf>
    <xf numFmtId="0" fontId="10" fillId="28" borderId="12" xfId="0" applyFont="1" applyFill="1" applyBorder="1" applyAlignment="1">
      <alignment horizontal="center" vertical="center" wrapText="1"/>
    </xf>
    <xf numFmtId="0" fontId="90" fillId="0" borderId="0" xfId="4" applyFont="1" applyAlignment="1">
      <alignment horizontal="left" vertical="center" wrapText="1"/>
    </xf>
    <xf numFmtId="0" fontId="57" fillId="8" borderId="12" xfId="0" applyFont="1" applyFill="1" applyBorder="1" applyAlignment="1">
      <alignment horizontal="left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40" fillId="0" borderId="14" xfId="0" applyFont="1" applyBorder="1" applyAlignment="1">
      <alignment horizontal="left" vertical="center" wrapText="1"/>
    </xf>
    <xf numFmtId="0" fontId="30" fillId="0" borderId="14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16" fontId="40" fillId="11" borderId="14" xfId="0" applyNumberFormat="1" applyFont="1" applyFill="1" applyBorder="1" applyAlignment="1">
      <alignment horizontal="center" vertical="center" wrapText="1"/>
    </xf>
    <xf numFmtId="0" fontId="58" fillId="7" borderId="3" xfId="0" quotePrefix="1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40" fillId="0" borderId="27" xfId="0" quotePrefix="1" applyFont="1" applyBorder="1" applyAlignment="1">
      <alignment horizontal="left" vertical="center"/>
    </xf>
    <xf numFmtId="0" fontId="13" fillId="0" borderId="26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22" fontId="0" fillId="0" borderId="3" xfId="0" applyNumberFormat="1" applyBorder="1" applyAlignment="1">
      <alignment horizontal="center"/>
    </xf>
    <xf numFmtId="0" fontId="42" fillId="33" borderId="16" xfId="0" applyFont="1" applyFill="1" applyBorder="1" applyAlignment="1">
      <alignment horizontal="center" vertical="center"/>
    </xf>
    <xf numFmtId="0" fontId="42" fillId="33" borderId="17" xfId="0" applyFont="1" applyFill="1" applyBorder="1" applyAlignment="1">
      <alignment horizontal="center" vertical="center"/>
    </xf>
    <xf numFmtId="0" fontId="42" fillId="33" borderId="18" xfId="0" applyFont="1" applyFill="1" applyBorder="1" applyAlignment="1">
      <alignment horizontal="center" vertical="center"/>
    </xf>
    <xf numFmtId="0" fontId="2" fillId="26" borderId="3" xfId="0" applyFont="1" applyFill="1" applyBorder="1" applyAlignment="1">
      <alignment horizontal="left"/>
    </xf>
    <xf numFmtId="0" fontId="2" fillId="26" borderId="8" xfId="0" applyFont="1" applyFill="1" applyBorder="1" applyAlignment="1">
      <alignment horizontal="left"/>
    </xf>
    <xf numFmtId="0" fontId="43" fillId="0" borderId="10" xfId="4" applyFont="1" applyBorder="1" applyAlignment="1">
      <alignment horizontal="left"/>
    </xf>
    <xf numFmtId="0" fontId="43" fillId="0" borderId="9" xfId="4" applyFont="1" applyBorder="1" applyAlignment="1">
      <alignment horizontal="left"/>
    </xf>
    <xf numFmtId="0" fontId="43" fillId="0" borderId="11" xfId="4" applyFont="1" applyBorder="1" applyAlignment="1">
      <alignment horizontal="left"/>
    </xf>
    <xf numFmtId="0" fontId="42" fillId="33" borderId="33" xfId="0" applyFont="1" applyFill="1" applyBorder="1" applyAlignment="1">
      <alignment horizontal="center" vertical="center" wrapText="1"/>
    </xf>
    <xf numFmtId="0" fontId="42" fillId="33" borderId="34" xfId="0" applyFont="1" applyFill="1" applyBorder="1" applyAlignment="1">
      <alignment horizontal="center" vertical="center" wrapText="1"/>
    </xf>
    <xf numFmtId="164" fontId="2" fillId="33" borderId="34" xfId="0" applyNumberFormat="1" applyFont="1" applyFill="1" applyBorder="1" applyAlignment="1">
      <alignment horizontal="center" vertical="center" wrapText="1"/>
    </xf>
    <xf numFmtId="0" fontId="42" fillId="33" borderId="30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2" fillId="26" borderId="14" xfId="0" applyFont="1" applyFill="1" applyBorder="1" applyAlignment="1">
      <alignment horizontal="center" vertical="center" wrapText="1"/>
    </xf>
    <xf numFmtId="0" fontId="2" fillId="26" borderId="9" xfId="0" applyFont="1" applyFill="1" applyBorder="1" applyAlignment="1">
      <alignment horizontal="center" wrapText="1"/>
    </xf>
    <xf numFmtId="164" fontId="2" fillId="26" borderId="9" xfId="0" applyNumberFormat="1" applyFont="1" applyFill="1" applyBorder="1" applyAlignment="1">
      <alignment horizontal="center" wrapText="1"/>
    </xf>
    <xf numFmtId="0" fontId="43" fillId="0" borderId="10" xfId="4" applyFont="1" applyBorder="1" applyAlignment="1">
      <alignment horizontal="center" wrapText="1"/>
    </xf>
    <xf numFmtId="0" fontId="43" fillId="0" borderId="9" xfId="4" applyFont="1" applyBorder="1" applyAlignment="1">
      <alignment horizontal="center" wrapText="1"/>
    </xf>
    <xf numFmtId="0" fontId="43" fillId="0" borderId="9" xfId="4" applyFont="1" applyBorder="1" applyAlignment="1">
      <alignment horizontal="center" vertical="center" wrapText="1"/>
    </xf>
    <xf numFmtId="164" fontId="43" fillId="0" borderId="9" xfId="4" applyNumberFormat="1" applyFont="1" applyBorder="1" applyAlignment="1">
      <alignment horizontal="center" wrapText="1"/>
    </xf>
    <xf numFmtId="0" fontId="2" fillId="26" borderId="14" xfId="0" applyFont="1" applyFill="1" applyBorder="1" applyAlignment="1">
      <alignment horizontal="left" vertical="center"/>
    </xf>
    <xf numFmtId="0" fontId="2" fillId="26" borderId="9" xfId="0" applyFont="1" applyFill="1" applyBorder="1" applyAlignment="1">
      <alignment horizontal="left" vertical="center"/>
    </xf>
    <xf numFmtId="0" fontId="2" fillId="26" borderId="11" xfId="0" applyFont="1" applyFill="1" applyBorder="1" applyAlignment="1">
      <alignment horizontal="left" vertical="center"/>
    </xf>
    <xf numFmtId="0" fontId="43" fillId="0" borderId="9" xfId="4" applyFont="1" applyBorder="1" applyAlignment="1">
      <alignment horizontal="left" vertical="center"/>
    </xf>
    <xf numFmtId="0" fontId="43" fillId="0" borderId="11" xfId="4" applyFont="1" applyBorder="1" applyAlignment="1">
      <alignment horizontal="left" vertical="center"/>
    </xf>
  </cellXfs>
  <cellStyles count="6">
    <cellStyle name="Hyperlink" xfId="4" builtinId="8"/>
    <cellStyle name="Hyperlink 2" xfId="3" xr:uid="{E64844CC-0B2D-4FD6-A6D7-A04B62E43288}"/>
    <cellStyle name="Normal" xfId="0" builtinId="0"/>
    <cellStyle name="Normal 2" xfId="1" xr:uid="{476BEBD6-2AA6-4D04-879E-DE122F53E66D}"/>
    <cellStyle name="Normal 2 2 2" xfId="2" xr:uid="{A2BF2B02-C257-4C9D-8BE5-0648DAF7F9AA}"/>
    <cellStyle name="Percent 2" xfId="5" xr:uid="{81697CD9-2D66-4C3A-8B2F-E5EDD003F821}"/>
  </cellStyles>
  <dxfs count="98"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C00000"/>
        </patternFill>
      </fill>
    </dxf>
    <dxf>
      <font>
        <color auto="1"/>
      </font>
      <fill>
        <patternFill>
          <bgColor rgb="FFEE8ED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19" formatCode="m/d/yyyy"/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FF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numFmt numFmtId="27" formatCode="m/d/yyyy\ h:mm"/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numFmt numFmtId="27" formatCode="m/d/yyyy\ h:mm"/>
      <fill>
        <patternFill patternType="solid">
          <fgColor indexed="64"/>
          <bgColor rgb="FFC6EFC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numFmt numFmtId="19" formatCode="m/d/yyyy"/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rgb="FF99CC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rgb="FFC6EF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6EFCE"/>
      <color rgb="FFFFFF81"/>
      <color rgb="FFFFFFFF"/>
      <color rgb="FFFF99FF"/>
      <color rgb="FFFF9999"/>
      <color rgb="FF66FF99"/>
      <color rgb="FFC9A4E4"/>
      <color rgb="FF9BF6FB"/>
      <color rgb="FFFF7C8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0</xdr:colOff>
      <xdr:row>135</xdr:row>
      <xdr:rowOff>8467</xdr:rowOff>
    </xdr:from>
    <xdr:ext cx="1606350" cy="755573"/>
    <xdr:pic>
      <xdr:nvPicPr>
        <xdr:cNvPr id="2" name="Picture 1">
          <a:extLst>
            <a:ext uri="{FF2B5EF4-FFF2-40B4-BE49-F238E27FC236}">
              <a16:creationId xmlns:a16="http://schemas.microsoft.com/office/drawing/2014/main" id="{6D596CE9-DBF2-426F-B555-98BA13DA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4383" y="26792767"/>
          <a:ext cx="1606350" cy="755573"/>
        </a:xfrm>
        <a:prstGeom prst="rect">
          <a:avLst/>
        </a:prstGeom>
      </xdr:spPr>
    </xdr:pic>
    <xdr:clientData/>
  </xdr:oneCellAnchor>
  <xdr:oneCellAnchor>
    <xdr:from>
      <xdr:col>26</xdr:col>
      <xdr:colOff>226219</xdr:colOff>
      <xdr:row>16</xdr:row>
      <xdr:rowOff>0</xdr:rowOff>
    </xdr:from>
    <xdr:ext cx="184731" cy="264560"/>
    <xdr:sp macro="" textlink="">
      <xdr:nvSpPr>
        <xdr:cNvPr id="5" name="TextBox 9">
          <a:extLst>
            <a:ext uri="{FF2B5EF4-FFF2-40B4-BE49-F238E27FC236}">
              <a16:creationId xmlns:a16="http://schemas.microsoft.com/office/drawing/2014/main" id="{D1DEF407-E686-9D2F-5710-1C5CD46B1420}"/>
            </a:ext>
            <a:ext uri="{147F2762-F138-4A5C-976F-8EAC2B608ADB}">
              <a16:predDERef xmlns:a16="http://schemas.microsoft.com/office/drawing/2014/main" pred="{00980249-B05A-490A-8EA3-A0F5C2480716}"/>
            </a:ext>
          </a:extLst>
        </xdr:cNvPr>
        <xdr:cNvSpPr txBox="1"/>
      </xdr:nvSpPr>
      <xdr:spPr>
        <a:xfrm>
          <a:off x="18180844" y="31075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28</xdr:col>
      <xdr:colOff>95250</xdr:colOff>
      <xdr:row>16</xdr:row>
      <xdr:rowOff>0</xdr:rowOff>
    </xdr:from>
    <xdr:ext cx="184731" cy="264560"/>
    <xdr:sp macro="" textlink="">
      <xdr:nvSpPr>
        <xdr:cNvPr id="4" name="TextBox 10">
          <a:extLst>
            <a:ext uri="{FF2B5EF4-FFF2-40B4-BE49-F238E27FC236}">
              <a16:creationId xmlns:a16="http://schemas.microsoft.com/office/drawing/2014/main" id="{354B1A9A-9585-5963-676D-0C1EE45C6E02}"/>
            </a:ext>
            <a:ext uri="{147F2762-F138-4A5C-976F-8EAC2B608ADB}">
              <a16:predDERef xmlns:a16="http://schemas.microsoft.com/office/drawing/2014/main" pred="{D1DEF407-E686-9D2F-5710-1C5CD46B1420}"/>
            </a:ext>
          </a:extLst>
        </xdr:cNvPr>
        <xdr:cNvSpPr txBox="1"/>
      </xdr:nvSpPr>
      <xdr:spPr>
        <a:xfrm>
          <a:off x="19512643" y="3224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27</xdr:col>
      <xdr:colOff>549390</xdr:colOff>
      <xdr:row>16</xdr:row>
      <xdr:rowOff>0</xdr:rowOff>
    </xdr:from>
    <xdr:ext cx="2369344" cy="407434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6866E1A4-33B5-FAD2-1A4E-9F64F437279D}"/>
            </a:ext>
            <a:ext uri="{147F2762-F138-4A5C-976F-8EAC2B608ADB}">
              <a16:predDERef xmlns:a16="http://schemas.microsoft.com/office/drawing/2014/main" pred="{354B1A9A-9585-5963-676D-0C1EE45C6E02}"/>
            </a:ext>
          </a:extLst>
        </xdr:cNvPr>
        <xdr:cNvSpPr txBox="1"/>
      </xdr:nvSpPr>
      <xdr:spPr>
        <a:xfrm>
          <a:off x="22375247" y="6160635"/>
          <a:ext cx="2369344" cy="407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26</xdr:col>
      <xdr:colOff>226219</xdr:colOff>
      <xdr:row>16</xdr:row>
      <xdr:rowOff>0</xdr:rowOff>
    </xdr:from>
    <xdr:ext cx="184731" cy="264560"/>
    <xdr:sp macro="" textlink="">
      <xdr:nvSpPr>
        <xdr:cNvPr id="6" name="TextBox 9">
          <a:extLst>
            <a:ext uri="{FF2B5EF4-FFF2-40B4-BE49-F238E27FC236}">
              <a16:creationId xmlns:a16="http://schemas.microsoft.com/office/drawing/2014/main" id="{EFECEF5F-7535-4B1C-AFF2-7C240B3B081F}"/>
            </a:ext>
            <a:ext uri="{147F2762-F138-4A5C-976F-8EAC2B608ADB}">
              <a16:predDERef xmlns:a16="http://schemas.microsoft.com/office/drawing/2014/main" pred="{6866E1A4-33B5-FAD2-1A4E-9F64F437279D}"/>
            </a:ext>
          </a:extLst>
        </xdr:cNvPr>
        <xdr:cNvSpPr txBox="1"/>
      </xdr:nvSpPr>
      <xdr:spPr>
        <a:xfrm>
          <a:off x="27499469" y="11398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28</xdr:col>
      <xdr:colOff>95250</xdr:colOff>
      <xdr:row>16</xdr:row>
      <xdr:rowOff>0</xdr:rowOff>
    </xdr:from>
    <xdr:ext cx="184731" cy="264560"/>
    <xdr:sp macro="" textlink="">
      <xdr:nvSpPr>
        <xdr:cNvPr id="7" name="TextBox 10">
          <a:extLst>
            <a:ext uri="{FF2B5EF4-FFF2-40B4-BE49-F238E27FC236}">
              <a16:creationId xmlns:a16="http://schemas.microsoft.com/office/drawing/2014/main" id="{7640FE51-A2BC-4EA1-8E70-10FA5B5659B3}"/>
            </a:ext>
            <a:ext uri="{147F2762-F138-4A5C-976F-8EAC2B608ADB}">
              <a16:predDERef xmlns:a16="http://schemas.microsoft.com/office/drawing/2014/main" pred="{EFECEF5F-7535-4B1C-AFF2-7C240B3B081F}"/>
            </a:ext>
          </a:extLst>
        </xdr:cNvPr>
        <xdr:cNvSpPr txBox="1"/>
      </xdr:nvSpPr>
      <xdr:spPr>
        <a:xfrm>
          <a:off x="28575000" y="11398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27</xdr:col>
      <xdr:colOff>549390</xdr:colOff>
      <xdr:row>16</xdr:row>
      <xdr:rowOff>0</xdr:rowOff>
    </xdr:from>
    <xdr:ext cx="2369344" cy="407434"/>
    <xdr:sp macro="" textlink="">
      <xdr:nvSpPr>
        <xdr:cNvPr id="8" name="TextBox 3">
          <a:extLst>
            <a:ext uri="{FF2B5EF4-FFF2-40B4-BE49-F238E27FC236}">
              <a16:creationId xmlns:a16="http://schemas.microsoft.com/office/drawing/2014/main" id="{028AFDBD-E3B3-49E0-BD12-26F464C76CE2}"/>
            </a:ext>
            <a:ext uri="{147F2762-F138-4A5C-976F-8EAC2B608ADB}">
              <a16:predDERef xmlns:a16="http://schemas.microsoft.com/office/drawing/2014/main" pred="{7640FE51-A2BC-4EA1-8E70-10FA5B5659B3}"/>
            </a:ext>
          </a:extLst>
        </xdr:cNvPr>
        <xdr:cNvSpPr txBox="1"/>
      </xdr:nvSpPr>
      <xdr:spPr>
        <a:xfrm>
          <a:off x="28425890" y="11398250"/>
          <a:ext cx="2369344" cy="407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4" xr16:uid="{00000000-0016-0000-0600-000000000000}" autoFormatId="16" applyNumberFormats="0" applyBorderFormats="0" applyFontFormats="0" applyPatternFormats="0" applyAlignmentFormats="0" applyWidthHeightFormats="0">
  <queryTableRefresh nextId="40">
    <queryTableFields count="29">
      <queryTableField id="1" name="Room" tableColumnId="1"/>
      <queryTableField id="2" name="Name" tableColumnId="2"/>
      <queryTableField id="3" name="MRN" tableColumnId="3"/>
      <queryTableField id="5" name="VAD  Status" tableColumnId="5"/>
      <queryTableField id="7" name="VAD Type" tableColumnId="7"/>
      <queryTableField id="6" name="VAD Cart #" tableColumnId="6"/>
      <queryTableField id="20" name="WeightToday" tableColumnId="4"/>
      <queryTableField id="8" name="VAD Speed" tableColumnId="8"/>
      <queryTableField id="9" name="VAD Dressing Change Order" tableColumnId="9"/>
      <queryTableField id="10" name="Dressing Changed" tableColumnId="10"/>
      <queryTableField id="11" name="VAD Photo Uploaded" tableColumnId="11"/>
      <queryTableField id="12" name="VAD Dsr Next Due" tableColumnId="12"/>
      <queryTableField id="13" name="VAD VS q4 AM" tableColumnId="13"/>
      <queryTableField id="14" name="VAD VS q4 PM" tableColumnId="14"/>
      <queryTableField id="15" name="VAD RN" tableColumnId="15"/>
      <queryTableField id="16" name="VAD Missing Required" tableColumnId="16"/>
      <queryTableField id="17" name="VAD DND" tableColumnId="17"/>
      <queryTableField id="18" name="VAD MISC NOTES" tableColumnId="18"/>
      <queryTableField id="29" name="teamsConversationMetadata_D86AE24D-7AF7-44D0-BFC8-90F17551E2ED" tableColumnId="19"/>
      <queryTableField id="30" name="EF" tableColumnId="20"/>
      <queryTableField id="31" name="GMLOS" tableColumnId="21"/>
      <queryTableField id="32" name="CSN" tableColumnId="22"/>
      <queryTableField id="33" name="Appointment Detail" tableColumnId="23"/>
      <queryTableField id="34" name="Fall Risk" tableColumnId="24"/>
      <queryTableField id="35" name="Creatinine" tableColumnId="25"/>
      <queryTableField id="36" name="Potassium (K+)" tableColumnId="26"/>
      <queryTableField id="37" name="Magnesium" tableColumnId="27"/>
      <queryTableField id="38" name="Hemoglobin (Hgb)" tableColumnId="28"/>
      <queryTableField id="39" name="Incentive Spirometry" tableColumnId="29"/>
    </queryTableFields>
    <queryTableDeletedFields count="4">
      <deletedField name="GMLOS"/>
      <deletedField name="teamsConversationMetadata_D86AE24D-7AF7-44D0-BFC8-90F17551E2ED"/>
      <deletedField name="EF"/>
      <deletedField name="GMLOS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00000000-0016-0000-0800-000001000000}" autoFormatId="16" applyNumberFormats="0" applyBorderFormats="0" applyFontFormats="0" applyPatternFormats="0" applyAlignmentFormats="0" applyWidthHeightFormats="0">
  <queryTableRefresh nextId="35" unboundColumnsRight="2">
    <queryTableFields count="25">
      <queryTableField id="3" name="MRN" tableColumnId="17"/>
      <queryTableField id="1" name="Room" tableColumnId="18"/>
      <queryTableField id="12" dataBound="0" tableColumnId="19"/>
      <queryTableField id="20" name="Name" tableColumnId="29"/>
      <queryTableField id="7" name="EDD" tableColumnId="20"/>
      <queryTableField id="4" name="Clinical Needs to Continue Admission" tableColumnId="21"/>
      <queryTableField id="6" name="Dispo" tableColumnId="22"/>
      <queryTableField id="8" name="Consultants Pending" tableColumnId="23"/>
      <queryTableField id="17" dataBound="0" tableColumnId="25"/>
      <queryTableField id="9" name="DC Order" tableColumnId="24"/>
      <queryTableField id="16" dataBound="0" tableColumnId="27"/>
      <queryTableField id="10" name="Med Rec" tableColumnId="28"/>
      <queryTableField id="5" name="Non-Clinical DC Barriers" tableColumnId="26"/>
      <queryTableField id="25" name="EF" tableColumnId="1"/>
      <queryTableField id="26" name="GMLOS" tableColumnId="2"/>
      <queryTableField id="27" name="CSN" tableColumnId="3"/>
      <queryTableField id="28" name="Appointment Detail" tableColumnId="4"/>
      <queryTableField id="29" name="Fall Risk" tableColumnId="5"/>
      <queryTableField id="30" name="Creatinine" tableColumnId="6"/>
      <queryTableField id="31" name="Potassium (K+)" tableColumnId="7"/>
      <queryTableField id="32" name="Magnesium" tableColumnId="8"/>
      <queryTableField id="33" name="Hemoglobin (Hgb)" tableColumnId="9"/>
      <queryTableField id="34" name="Incentive Spirometry" tableColumnId="10"/>
      <queryTableField id="18" dataBound="0" tableColumnId="30"/>
      <queryTableField id="19" dataBound="0" tableColumnId="31"/>
    </queryTableFields>
    <queryTableDeletedFields count="1">
      <deletedField name="Name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900-000002000000}" autoFormatId="16" applyNumberFormats="0" applyBorderFormats="0" applyFontFormats="0" applyPatternFormats="0" applyAlignmentFormats="0" applyWidthHeightFormats="0">
  <queryTableRefresh nextId="108" unboundColumnsRight="5">
    <queryTableFields count="31">
      <queryTableField id="3" name="MRN" tableColumnId="23"/>
      <queryTableField id="1" name="Room" tableColumnId="24"/>
      <queryTableField id="82" dataBound="0" tableColumnId="25"/>
      <queryTableField id="92" name="Name" tableColumnId="38"/>
      <queryTableField id="10" name="EDD" tableColumnId="26"/>
      <queryTableField id="4" name="Clinical Needs to Continue Admission" tableColumnId="27"/>
      <queryTableField id="9" name="Dispo" tableColumnId="28"/>
      <queryTableField id="5" name="Non-Clinical DC Barriers" tableColumnId="29"/>
      <queryTableField id="8" name="Misaligned Dispo" tableColumnId="30"/>
      <queryTableField id="7" name="SurgeryBarriers" tableColumnId="31"/>
      <queryTableField id="86" dataBound="0" tableColumnId="33"/>
      <queryTableField id="85" dataBound="0" tableColumnId="34"/>
      <queryTableField id="84" dataBound="0" tableColumnId="35"/>
      <queryTableField id="83" dataBound="0" tableColumnId="36"/>
      <queryTableField id="6" name="SurgeryToday" tableColumnId="32"/>
      <queryTableField id="81" name="teamsConversationMetadata_D86AE24D-7AF7-44D0-BFC8-90F17551E2ED" tableColumnId="37"/>
      <queryTableField id="98" name="EF" tableColumnId="1"/>
      <queryTableField id="99" name="GMLOS" tableColumnId="2"/>
      <queryTableField id="100" name="CSN" tableColumnId="3"/>
      <queryTableField id="101" name="Appointment Detail" tableColumnId="4"/>
      <queryTableField id="102" name="Fall Risk" tableColumnId="5"/>
      <queryTableField id="103" name="Creatinine" tableColumnId="6"/>
      <queryTableField id="104" name="Potassium (K+)" tableColumnId="7"/>
      <queryTableField id="105" name="Magnesium" tableColumnId="8"/>
      <queryTableField id="106" name="Hemoglobin (Hgb)" tableColumnId="9"/>
      <queryTableField id="107" name="Incentive Spirometry" tableColumnId="10"/>
      <queryTableField id="87" dataBound="0" tableColumnId="39"/>
      <queryTableField id="88" dataBound="0" tableColumnId="40"/>
      <queryTableField id="89" dataBound="0" tableColumnId="41"/>
      <queryTableField id="90" dataBound="0" tableColumnId="42"/>
      <queryTableField id="91" dataBound="0" tableColumnId="43"/>
    </queryTableFields>
    <queryTableDeletedFields count="1">
      <deletedField name="Na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F1B340-55AF-4ACB-AD36-3FC50B17ECF8}" name="VADaudit" displayName="VADaudit" ref="A4:AC7" tableType="queryTable" totalsRowShown="0" headerRowDxfId="97" dataDxfId="96">
  <autoFilter ref="A4:AC7" xr:uid="{7FF1B340-55AF-4ACB-AD36-3FC50B17ECF8}"/>
  <tableColumns count="29">
    <tableColumn id="1" xr3:uid="{72524AAA-BD2E-46F2-B426-34CA760C8F01}" uniqueName="1" name="Room" queryTableFieldId="1" dataDxfId="95"/>
    <tableColumn id="2" xr3:uid="{101CA0ED-3571-4D55-A683-1F01A106652D}" uniqueName="2" name="Name" queryTableFieldId="2" dataDxfId="94"/>
    <tableColumn id="3" xr3:uid="{AAD59695-1DBC-4377-BA81-1CD3C2003FA6}" uniqueName="3" name="MRN" queryTableFieldId="3" dataDxfId="93"/>
    <tableColumn id="5" xr3:uid="{00DD46B2-A75A-467F-BBCD-27AE1BF672B8}" uniqueName="5" name="VAD  Status" queryTableFieldId="5" dataDxfId="92"/>
    <tableColumn id="7" xr3:uid="{150DC0B7-3EF7-4A38-A60E-36A2ED3AB7CC}" uniqueName="7" name="VAD Type" queryTableFieldId="7" dataDxfId="91"/>
    <tableColumn id="6" xr3:uid="{5C919FD8-2BA6-4B44-839D-7A7733C06C61}" uniqueName="6" name="VAD Cart #" queryTableFieldId="6" dataDxfId="90"/>
    <tableColumn id="4" xr3:uid="{55ED73C1-F584-4548-8DB6-9A59EDA43889}" uniqueName="4" name="WeightToday" queryTableFieldId="20" dataDxfId="89"/>
    <tableColumn id="8" xr3:uid="{46086380-4C5B-4E7B-9532-8911B4C9861F}" uniqueName="8" name="VAD Speed" queryTableFieldId="8" dataDxfId="88"/>
    <tableColumn id="9" xr3:uid="{BFF7A07A-9691-4199-AF45-CC3ED9DB55CA}" uniqueName="9" name="VAD Dressing Change Order" queryTableFieldId="9" dataDxfId="87"/>
    <tableColumn id="10" xr3:uid="{889411A2-C2C1-4AB3-BDD6-F564397D3DD2}" uniqueName="10" name="Dressing Changed" queryTableFieldId="10" dataDxfId="86"/>
    <tableColumn id="11" xr3:uid="{F7CA175F-E048-496C-BE6B-E46C6F9FD6BF}" uniqueName="11" name="VAD Photo Uploaded" queryTableFieldId="11" dataDxfId="85"/>
    <tableColumn id="12" xr3:uid="{92176BF6-87C4-4C83-86F9-6AFB5BEED7F5}" uniqueName="12" name="VAD Dsr Next Due" queryTableFieldId="12" dataDxfId="84"/>
    <tableColumn id="13" xr3:uid="{5BFA4A22-001C-4DC8-B35F-DB22E03021F2}" uniqueName="13" name="VAD VS q4 AM" queryTableFieldId="13" dataDxfId="83"/>
    <tableColumn id="14" xr3:uid="{5C432CD8-4E9E-4903-981C-F5D28C9E2151}" uniqueName="14" name="VAD VS q4 PM" queryTableFieldId="14" dataDxfId="82"/>
    <tableColumn id="15" xr3:uid="{A56BCB97-088F-44E3-8314-D6C3C30FA604}" uniqueName="15" name="VAD RN" queryTableFieldId="15" dataDxfId="81"/>
    <tableColumn id="16" xr3:uid="{E74CA2F8-0CF9-4986-AA31-94D3142F0BF9}" uniqueName="16" name="VAD Missing Required" queryTableFieldId="16" dataDxfId="80"/>
    <tableColumn id="17" xr3:uid="{E3923674-45AC-4AD5-8534-B026CEBE4D39}" uniqueName="17" name="VAD DND" queryTableFieldId="17" dataDxfId="79"/>
    <tableColumn id="18" xr3:uid="{1355B56B-5B9D-4794-986C-08DBA24DBAE5}" uniqueName="18" name="VAD MISC NOTES" queryTableFieldId="18" dataDxfId="78"/>
    <tableColumn id="19" xr3:uid="{2AD247C1-719C-4286-8AAA-FE35947B0625}" uniqueName="19" name="teamsConversationMetadata_D86AE24D-7AF7-44D0-BFC8-90F17551E2ED" queryTableFieldId="29" dataDxfId="77"/>
    <tableColumn id="20" xr3:uid="{490B7F1A-7B8C-48DB-ABD9-F8BFB37289A9}" uniqueName="20" name="EF" queryTableFieldId="30"/>
    <tableColumn id="21" xr3:uid="{4CE55B05-0233-4272-9E61-CEB09BA4115F}" uniqueName="21" name="GMLOS" queryTableFieldId="31"/>
    <tableColumn id="22" xr3:uid="{A6289CA8-13D5-4DF9-982F-46D6793FEB8C}" uniqueName="22" name="CSN" queryTableFieldId="32" dataDxfId="76"/>
    <tableColumn id="23" xr3:uid="{D9FD530C-AED9-4E8D-835D-C5DBD4090787}" uniqueName="23" name="Appointment Detail" queryTableFieldId="33" dataDxfId="75"/>
    <tableColumn id="24" xr3:uid="{717D9539-CD40-4F1D-8AEE-412D1552AF23}" uniqueName="24" name="Fall Risk" queryTableFieldId="34" dataDxfId="74"/>
    <tableColumn id="25" xr3:uid="{6C3A43ED-0832-4698-91F8-6FDCC3C7DCFB}" uniqueName="25" name="Creatinine" queryTableFieldId="35" dataDxfId="73"/>
    <tableColumn id="26" xr3:uid="{9292F8C5-460C-4FCD-B679-84079E371232}" uniqueName="26" name="Potassium (K+)" queryTableFieldId="36" dataDxfId="72"/>
    <tableColumn id="27" xr3:uid="{56A0CAEC-A38E-4459-8045-21534EBF77AA}" uniqueName="27" name="Magnesium" queryTableFieldId="37" dataDxfId="71"/>
    <tableColumn id="28" xr3:uid="{6AB84CB7-D779-48E7-8829-DE9A5A443456}" uniqueName="28" name="Hemoglobin (Hgb)" queryTableFieldId="38" dataDxfId="70"/>
    <tableColumn id="29" xr3:uid="{35A9EFA5-FAFE-4376-9F59-5EFA036DEC0E}" uniqueName="29" name="Incentive Spirometry" queryTableFieldId="39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4FDBBA-6CBB-4E33-B60D-75618279143A}" name="GT7DCLIST" displayName="GT7DCLIST" ref="B4:Z13" tableType="queryTable" totalsRowShown="0" headerRowDxfId="68" dataDxfId="67">
  <autoFilter ref="B4:Z13" xr:uid="{494FDBBA-6CBB-4E33-B60D-75618279143A}"/>
  <tableColumns count="25">
    <tableColumn id="17" xr3:uid="{6056B982-3E8E-413D-A92E-EE3121C72DC2}" uniqueName="17" name="MRN" queryTableFieldId="3" dataDxfId="66"/>
    <tableColumn id="18" xr3:uid="{F49AB9FE-5E45-4B4B-AC9A-F3F818F1642E}" uniqueName="18" name="Room" queryTableFieldId="1" dataDxfId="65"/>
    <tableColumn id="19" xr3:uid="{21758FC1-F186-4505-BC60-4BD4C366BAE2}" uniqueName="19" name="Clinical Needs to Continue Admission" queryTableFieldId="12" dataDxfId="64"/>
    <tableColumn id="29" xr3:uid="{EAF4E998-8148-4C58-B141-C18ECD984063}" uniqueName="29" name="Name" queryTableFieldId="20"/>
    <tableColumn id="20" xr3:uid="{749E2943-EAA6-42FE-B959-D29280067C4E}" uniqueName="20" name="EDD" queryTableFieldId="7" dataDxfId="63"/>
    <tableColumn id="21" xr3:uid="{264657A4-3672-47B9-99A5-508C37C6F3D9}" uniqueName="21" name="Clinical Needs to Continue Admission2" queryTableFieldId="4" dataDxfId="62"/>
    <tableColumn id="22" xr3:uid="{92AA7EE4-46DB-49C9-813C-0D6682A73C68}" uniqueName="22" name="Dispo" queryTableFieldId="6" dataDxfId="61"/>
    <tableColumn id="23" xr3:uid="{B5D9C438-0498-4CAF-920E-721D0E3CB770}" uniqueName="23" name="Consultants Pending" queryTableFieldId="8" dataDxfId="60"/>
    <tableColumn id="25" xr3:uid="{C5141001-EFA9-489D-9AFD-FCB5A1E8BF60}" uniqueName="25" name="Column1" queryTableFieldId="17" dataDxfId="59"/>
    <tableColumn id="24" xr3:uid="{4005E68D-F30A-4520-A62B-3DAAB3FF4E7F}" uniqueName="24" name="DC Order" queryTableFieldId="9" dataDxfId="58"/>
    <tableColumn id="27" xr3:uid="{C3CEE40C-DC23-4DE7-8B30-0B487165A70E}" uniqueName="27" name="Column2" queryTableFieldId="16" dataDxfId="57"/>
    <tableColumn id="28" xr3:uid="{D7B69375-E703-49D3-8173-C2B6769DE59E}" uniqueName="28" name="Med Rec" queryTableFieldId="10" dataDxfId="56"/>
    <tableColumn id="26" xr3:uid="{87B0C490-E581-43D0-8F7A-0A8713DC468C}" uniqueName="26" name="Non-Clinical DC Barriers" queryTableFieldId="5" dataDxfId="55"/>
    <tableColumn id="1" xr3:uid="{2B4AE20A-9CD7-462D-8854-95DED92BF6E6}" uniqueName="1" name="EF" queryTableFieldId="25"/>
    <tableColumn id="2" xr3:uid="{0A31EBE5-C7B5-45A2-BEC9-6A103A4C708C}" uniqueName="2" name="GMLOS" queryTableFieldId="26"/>
    <tableColumn id="3" xr3:uid="{0758B84A-DCA7-4DF1-89D7-CB505C82560B}" uniqueName="3" name="CSN" queryTableFieldId="27" dataDxfId="54"/>
    <tableColumn id="4" xr3:uid="{E66342F4-88F8-468F-A4E6-ABDE26236864}" uniqueName="4" name="Appointment Detail" queryTableFieldId="28" dataDxfId="53"/>
    <tableColumn id="5" xr3:uid="{973AC24E-58BD-41D4-9DB7-A26B3990FAE5}" uniqueName="5" name="Fall Risk" queryTableFieldId="29" dataDxfId="52"/>
    <tableColumn id="6" xr3:uid="{365D94AA-7020-4AD7-AE76-491EC3A5EA43}" uniqueName="6" name="Creatinine" queryTableFieldId="30" dataDxfId="51"/>
    <tableColumn id="7" xr3:uid="{FAEC0224-6D57-493F-95F3-F09040296BBA}" uniqueName="7" name="Potassium (K+)" queryTableFieldId="31" dataDxfId="50"/>
    <tableColumn id="8" xr3:uid="{B1BB60CF-2671-4E2D-BF34-2B2595F69CB4}" uniqueName="8" name="Magnesium" queryTableFieldId="32" dataDxfId="49"/>
    <tableColumn id="9" xr3:uid="{2CB9DB28-9C8C-49F2-8ED0-2C9DFE5366F4}" uniqueName="9" name="Hemoglobin (Hgb)" queryTableFieldId="33" dataDxfId="48"/>
    <tableColumn id="10" xr3:uid="{EE2AA4B5-4C41-492E-900A-2D34E79550B4}" uniqueName="10" name="Incentive Spirometry" queryTableFieldId="34" dataDxfId="47"/>
    <tableColumn id="30" xr3:uid="{83F09A0B-06EB-480C-916B-D0BCCB3843CF}" uniqueName="30" name="Column5" queryTableFieldId="18" dataDxfId="46"/>
    <tableColumn id="31" xr3:uid="{E4228276-8E3B-4C5F-8213-ACDFA1B938FC}" uniqueName="31" name="Column6" queryTableFieldId="19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4B2EA80-595A-4966-94E7-53B870C876EF}" name="GT7UNITGUIDE" displayName="GT7UNITGUIDE" ref="A4:AE44" tableType="queryTable" totalsRowShown="0" headerRowDxfId="44" dataDxfId="43">
  <autoFilter ref="A4:AE44" xr:uid="{54B2EA80-595A-4966-94E7-53B870C876EF}"/>
  <tableColumns count="31">
    <tableColumn id="23" xr3:uid="{90B98DFA-A32C-40C3-B7D3-1BB4A55B2FAC}" uniqueName="23" name="MRN" queryTableFieldId="3" dataDxfId="42"/>
    <tableColumn id="24" xr3:uid="{95C9E044-285D-4192-A569-9D2278F40630}" uniqueName="24" name="Room" queryTableFieldId="1" dataDxfId="41"/>
    <tableColumn id="25" xr3:uid="{9D802608-9693-40C8-A407-4A8EAB02EFEF}" uniqueName="25" name="Clinical Needs to Continue Admission" queryTableFieldId="82" dataDxfId="40"/>
    <tableColumn id="38" xr3:uid="{AAA415EA-6AEE-44E1-99C3-F0DC9E31CF96}" uniqueName="38" name="Name" queryTableFieldId="92" dataDxfId="39"/>
    <tableColumn id="26" xr3:uid="{B072712B-9C03-437E-B9C8-2E42D80875DF}" uniqueName="26" name="EDD" queryTableFieldId="10" dataDxfId="38"/>
    <tableColumn id="27" xr3:uid="{5075CF9C-7428-470A-B2F0-809774545A4A}" uniqueName="27" name="Clinical Needs to Continue Admission2" queryTableFieldId="4" dataDxfId="37"/>
    <tableColumn id="28" xr3:uid="{14FF77BE-0B75-4B4E-89B8-9B4719C4B141}" uniqueName="28" name="Dispo" queryTableFieldId="9" dataDxfId="36"/>
    <tableColumn id="29" xr3:uid="{303F2C99-E824-40A0-B55C-6B4664D94097}" uniqueName="29" name="Non-Clinical DC Barriers" queryTableFieldId="5" dataDxfId="35"/>
    <tableColumn id="30" xr3:uid="{9807934D-5F69-4FA4-AD44-946C08E1E222}" uniqueName="30" name="Misaligned Dispo" queryTableFieldId="8" dataDxfId="34"/>
    <tableColumn id="31" xr3:uid="{F6D70F6E-3DB0-4E80-8FE8-33F2C62DF97F}" uniqueName="31" name="SurgeryBarriers" queryTableFieldId="7" dataDxfId="33"/>
    <tableColumn id="33" xr3:uid="{EAC12EC5-A7D8-46D9-8952-623447431D37}" uniqueName="33" name="Column1" queryTableFieldId="86" dataDxfId="32"/>
    <tableColumn id="34" xr3:uid="{794B061A-1A33-40D9-BF39-3C5192336249}" uniqueName="34" name="Column2" queryTableFieldId="85" dataDxfId="31"/>
    <tableColumn id="35" xr3:uid="{A2CCBCEF-2F7A-4C5A-9475-E89F2EF50262}" uniqueName="35" name="Column3" queryTableFieldId="84" dataDxfId="30"/>
    <tableColumn id="36" xr3:uid="{9D7C6E23-F4AD-4483-AF9F-BE5A50996DC8}" uniqueName="36" name="Column4" queryTableFieldId="83" dataDxfId="29"/>
    <tableColumn id="32" xr3:uid="{BACCA38F-A0CE-423D-9392-EA26DF976E7D}" uniqueName="32" name="SurgeryToday" queryTableFieldId="6" dataDxfId="28"/>
    <tableColumn id="37" xr3:uid="{0316920A-03A3-4BEE-A10A-90150CB9A3F9}" uniqueName="37" name="teamsConversationMetadata_D86AE24D-7AF7-44D0-BFC8-90F17551E2ED" queryTableFieldId="81" dataDxfId="27"/>
    <tableColumn id="1" xr3:uid="{58606C58-2ED2-42CA-BDD4-4983C25DC492}" uniqueName="1" name="EF" queryTableFieldId="98"/>
    <tableColumn id="2" xr3:uid="{94B81A0B-54D1-44BC-9184-21341673C920}" uniqueName="2" name="GMLOS" queryTableFieldId="99"/>
    <tableColumn id="3" xr3:uid="{DBFB58D5-307E-45EF-8C9D-E85D07945BE6}" uniqueName="3" name="CSN" queryTableFieldId="100" dataDxfId="26"/>
    <tableColumn id="4" xr3:uid="{1BA6B906-DA9F-449B-B5E3-7455E8DCBB62}" uniqueName="4" name="Appointment Detail" queryTableFieldId="101" dataDxfId="25"/>
    <tableColumn id="5" xr3:uid="{73426474-BAF2-4F1A-838B-83956B7B7765}" uniqueName="5" name="Fall Risk" queryTableFieldId="102" dataDxfId="24"/>
    <tableColumn id="6" xr3:uid="{5A597C1A-568E-46B9-A665-D666F5DE5D89}" uniqueName="6" name="Creatinine" queryTableFieldId="103" dataDxfId="23"/>
    <tableColumn id="7" xr3:uid="{C2742F0B-5760-43ED-A3DA-B6DEA45F7536}" uniqueName="7" name="Potassium (K+)" queryTableFieldId="104" dataDxfId="22"/>
    <tableColumn id="8" xr3:uid="{7AD2177F-E64B-47E7-8922-5B2ADBFED9BD}" uniqueName="8" name="Magnesium" queryTableFieldId="105" dataDxfId="21"/>
    <tableColumn id="9" xr3:uid="{AC946C22-129F-4F26-A1F6-0E4A5F7B254F}" uniqueName="9" name="Hemoglobin (Hgb)" queryTableFieldId="106" dataDxfId="20"/>
    <tableColumn id="10" xr3:uid="{76BAA6A9-3CF9-4484-87EF-E08F9AAA4D6D}" uniqueName="10" name="Incentive Spirometry" queryTableFieldId="107" dataDxfId="19"/>
    <tableColumn id="39" xr3:uid="{B979A55E-6FAF-4C82-883A-8327398C460B}" uniqueName="39" name="Column7" queryTableFieldId="87" dataDxfId="18"/>
    <tableColumn id="40" xr3:uid="{5AFB7F18-DD68-4363-9C49-7DC928C7C3E6}" uniqueName="40" name="Column8" queryTableFieldId="88" dataDxfId="17"/>
    <tableColumn id="41" xr3:uid="{52D90191-4F41-4E8B-B392-0F8CDE0740AF}" uniqueName="41" name="Column9" queryTableFieldId="89" dataDxfId="16"/>
    <tableColumn id="42" xr3:uid="{9C3A4DDB-8E1B-4D88-9D03-A1E8F120D894}" uniqueName="42" name="Column10" queryTableFieldId="90" dataDxfId="15"/>
    <tableColumn id="43" xr3:uid="{84BBD274-CF7B-4A37-88DA-56CF913ADC5D}" uniqueName="43" name="Column11" queryTableFieldId="91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hsonline.sharepoint.com/:w:/t/GT7Charge/IQBtl3QsSYaeRqcDmvXeHb7RAd0ve1K2mJoMVCWQxyBurnk?e=rCMOjD" TargetMode="External"/><Relationship Id="rId1" Type="http://schemas.openxmlformats.org/officeDocument/2006/relationships/hyperlink" Target="file:///D:\General\Charge%20Documents\Charge%20Forms\2024%20Cardiac%20PCU%20Assignment%20AM.docx%3fweb=1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ahsonline.sharepoint.com/teams/GT7Charge/Lists/GT7%20SURGIFLOW/AllItems.aspx?viewid=f80a9967%2D7136%2D4b61%2D9fd2%2D29e89b77f7c8&amp;env=WebViewList" TargetMode="External"/><Relationship Id="rId1" Type="http://schemas.openxmlformats.org/officeDocument/2006/relationships/hyperlink" Target="https://ahsonline.sharepoint.com/teams/GT7Charge/Lists/GT7%20SURGIFLOW/AllItems.aspx?viewid=f80a9967%2D7136%2D4b61%2D9fd2%2D29e89b77f7c8&amp;env=WebViewList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hsonline.sharepoint.com/my?id=%2Fpersonal%2Fjch4d0%5Fmultihosp%5Fnet%2FDocuments%2FAttachments%2FPeer%20to%20Peer%20Foley%20Audit%20Tool%20and%20Reference%20Guide%2Epdf&amp;parent=%2Fpersonal%2Fjch4d0%5Fmultihosp%5Fnet%2FDocuments%2FAttachments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hsonline.sharepoint.com/teams/GT7Charge/Lists/GT7%20SURGIFLOW/AllItems.aspx?viewid=f80a9967%2D7136%2D4b61%2D9fd2%2D29e89b77f7c8&amp;env=WebViewLis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5050"/>
  </sheetPr>
  <dimension ref="A1:CQ58"/>
  <sheetViews>
    <sheetView zoomScale="40" zoomScaleNormal="40" workbookViewId="0">
      <selection activeCell="H14" sqref="H14:K14"/>
    </sheetView>
  </sheetViews>
  <sheetFormatPr defaultColWidth="8.85546875" defaultRowHeight="25.5" x14ac:dyDescent="0.35"/>
  <cols>
    <col min="1" max="1" width="6.28515625" style="137" customWidth="1"/>
    <col min="2" max="2" width="49.140625" style="7" customWidth="1"/>
    <col min="3" max="3" width="5.42578125" style="67" customWidth="1"/>
    <col min="4" max="4" width="14.42578125" style="7" customWidth="1"/>
    <col min="5" max="5" width="15.28515625" style="7" customWidth="1"/>
    <col min="6" max="6" width="25.5703125" style="7" customWidth="1"/>
    <col min="7" max="7" width="4.85546875" style="67" customWidth="1"/>
    <col min="8" max="8" width="20" style="7" bestFit="1" customWidth="1"/>
    <col min="9" max="9" width="20.85546875" style="7" customWidth="1"/>
    <col min="10" max="10" width="17.5703125" style="7" customWidth="1"/>
    <col min="11" max="11" width="61.7109375" style="7" customWidth="1"/>
    <col min="12" max="12" width="33" style="7" bestFit="1" customWidth="1"/>
    <col min="13" max="13" width="33.140625" style="7" customWidth="1"/>
    <col min="14" max="14" width="64.85546875" style="7" customWidth="1"/>
    <col min="15" max="15" width="6" style="67" customWidth="1"/>
    <col min="16" max="16" width="8.85546875" style="7" customWidth="1"/>
    <col min="17" max="17" width="5.140625" style="7" bestFit="1" customWidth="1"/>
    <col min="18" max="16377" width="8.85546875" style="7"/>
    <col min="16378" max="16378" width="8.85546875" style="7" bestFit="1"/>
    <col min="16379" max="16384" width="8.85546875" style="7"/>
  </cols>
  <sheetData>
    <row r="1" spans="1:23" ht="12" customHeight="1" x14ac:dyDescent="0.35">
      <c r="A1" s="309" t="s">
        <v>4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1" t="s">
        <v>5</v>
      </c>
      <c r="M1" s="302"/>
      <c r="N1" s="302"/>
    </row>
    <row r="2" spans="1:23" ht="68.25" customHeight="1" x14ac:dyDescent="0.35">
      <c r="A2" s="309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3"/>
      <c r="M2" s="304"/>
      <c r="N2" s="304"/>
      <c r="P2" s="300"/>
      <c r="Q2" s="300"/>
    </row>
    <row r="3" spans="1:23" ht="54" customHeight="1" x14ac:dyDescent="0.35">
      <c r="A3" s="318" t="s">
        <v>6</v>
      </c>
      <c r="B3" s="319"/>
      <c r="C3" s="208" t="s">
        <v>7</v>
      </c>
      <c r="D3" s="214" t="s">
        <v>8</v>
      </c>
      <c r="E3" s="215"/>
      <c r="F3" s="216"/>
      <c r="G3" s="280"/>
      <c r="H3" s="277" t="s">
        <v>9</v>
      </c>
      <c r="I3" s="277"/>
      <c r="J3" s="277"/>
      <c r="K3" s="277"/>
      <c r="L3" s="76" t="s">
        <v>10</v>
      </c>
      <c r="M3" s="77" t="s">
        <v>8</v>
      </c>
      <c r="N3" s="77" t="s">
        <v>11</v>
      </c>
      <c r="O3" s="68"/>
      <c r="P3" s="300"/>
      <c r="Q3" s="300"/>
    </row>
    <row r="4" spans="1:23" ht="39.75" customHeight="1" x14ac:dyDescent="0.35">
      <c r="A4" s="326" t="s">
        <v>12</v>
      </c>
      <c r="B4" s="327"/>
      <c r="C4" s="209"/>
      <c r="D4" s="231" t="s">
        <v>13</v>
      </c>
      <c r="E4" s="233" t="s">
        <v>14</v>
      </c>
      <c r="F4" s="233" t="s">
        <v>15</v>
      </c>
      <c r="G4" s="281"/>
      <c r="H4" s="278" t="s">
        <v>16</v>
      </c>
      <c r="I4" s="279"/>
      <c r="J4" s="279"/>
      <c r="K4" s="279"/>
      <c r="L4" s="81" t="s">
        <v>17</v>
      </c>
      <c r="O4" s="68"/>
      <c r="P4" s="300"/>
      <c r="Q4" s="300"/>
    </row>
    <row r="5" spans="1:23" ht="36" customHeight="1" x14ac:dyDescent="0.35">
      <c r="A5" s="333" t="s">
        <v>18</v>
      </c>
      <c r="B5" s="334"/>
      <c r="C5" s="209"/>
      <c r="D5" s="232"/>
      <c r="E5" s="234"/>
      <c r="F5" s="234"/>
      <c r="G5" s="281"/>
      <c r="H5" s="290"/>
      <c r="I5" s="291"/>
      <c r="J5" s="291"/>
      <c r="K5" s="291"/>
      <c r="L5" s="138"/>
      <c r="M5" s="345" t="s">
        <v>19</v>
      </c>
      <c r="N5" s="346"/>
      <c r="O5" s="68"/>
      <c r="P5" s="300"/>
      <c r="Q5" s="300"/>
    </row>
    <row r="6" spans="1:23" ht="33" customHeight="1" x14ac:dyDescent="0.35">
      <c r="A6" s="324" t="s">
        <v>20</v>
      </c>
      <c r="B6" s="325"/>
      <c r="C6" s="209"/>
      <c r="D6" s="86" t="s">
        <v>3</v>
      </c>
      <c r="E6" s="87">
        <v>12</v>
      </c>
      <c r="F6" s="88">
        <v>11</v>
      </c>
      <c r="G6" s="281"/>
      <c r="H6" s="292" t="s">
        <v>21</v>
      </c>
      <c r="I6" s="293"/>
      <c r="J6" s="293"/>
      <c r="K6" s="293"/>
      <c r="L6" s="130"/>
      <c r="M6" s="348"/>
      <c r="N6" s="226"/>
      <c r="O6" s="69"/>
      <c r="P6" s="300"/>
      <c r="Q6" s="300"/>
    </row>
    <row r="7" spans="1:23" ht="34.5" customHeight="1" x14ac:dyDescent="0.35">
      <c r="A7" s="331" t="s">
        <v>22</v>
      </c>
      <c r="B7" s="332"/>
      <c r="C7" s="209"/>
      <c r="D7" s="86" t="s">
        <v>7</v>
      </c>
      <c r="E7" s="87">
        <v>1</v>
      </c>
      <c r="F7" s="89">
        <v>1</v>
      </c>
      <c r="G7" s="281"/>
      <c r="H7" s="299" t="s">
        <v>23</v>
      </c>
      <c r="I7" s="299"/>
      <c r="J7" s="299"/>
      <c r="K7" s="299"/>
      <c r="L7" s="131"/>
      <c r="M7" s="348"/>
      <c r="N7" s="226"/>
      <c r="O7" s="69"/>
      <c r="P7" s="300"/>
      <c r="Q7" s="300"/>
    </row>
    <row r="8" spans="1:23" ht="40.9" customHeight="1" x14ac:dyDescent="0.35">
      <c r="A8" s="324" t="s">
        <v>24</v>
      </c>
      <c r="B8" s="325"/>
      <c r="C8" s="209"/>
      <c r="D8" s="86" t="s">
        <v>25</v>
      </c>
      <c r="E8" s="87">
        <v>3</v>
      </c>
      <c r="F8" s="90">
        <v>2</v>
      </c>
      <c r="G8" s="281"/>
      <c r="H8" s="297" t="s">
        <v>26</v>
      </c>
      <c r="I8" s="284"/>
      <c r="J8" s="284"/>
      <c r="K8" s="284"/>
      <c r="L8" s="130"/>
      <c r="M8" s="348"/>
      <c r="N8" s="226"/>
      <c r="O8" s="69"/>
      <c r="P8" s="300"/>
      <c r="Q8" s="300"/>
    </row>
    <row r="9" spans="1:23" ht="42" customHeight="1" x14ac:dyDescent="0.35">
      <c r="A9" s="322" t="s">
        <v>27</v>
      </c>
      <c r="B9" s="323"/>
      <c r="C9" s="209"/>
      <c r="D9" s="86" t="s">
        <v>28</v>
      </c>
      <c r="E9" s="87">
        <v>1</v>
      </c>
      <c r="F9" s="150">
        <v>0</v>
      </c>
      <c r="G9" s="281"/>
      <c r="H9" s="298" t="s">
        <v>29</v>
      </c>
      <c r="I9" s="298"/>
      <c r="J9" s="298"/>
      <c r="K9" s="298"/>
      <c r="L9" s="130"/>
      <c r="M9" s="176"/>
      <c r="O9" s="69"/>
      <c r="P9" s="300"/>
      <c r="Q9" s="300"/>
    </row>
    <row r="10" spans="1:23" ht="49.5" customHeight="1" x14ac:dyDescent="0.35">
      <c r="A10" s="7"/>
      <c r="C10" s="209"/>
      <c r="D10" s="261" t="s">
        <v>30</v>
      </c>
      <c r="E10" s="262"/>
      <c r="F10" s="91">
        <v>39</v>
      </c>
      <c r="G10" s="281"/>
      <c r="H10" s="283" t="s">
        <v>31</v>
      </c>
      <c r="I10" s="284"/>
      <c r="J10" s="284"/>
      <c r="K10" s="284"/>
      <c r="L10" s="132"/>
      <c r="M10" s="347"/>
      <c r="N10" s="226"/>
      <c r="O10" s="69"/>
      <c r="P10" s="300"/>
      <c r="Q10" s="300"/>
    </row>
    <row r="11" spans="1:23" ht="43.5" customHeight="1" x14ac:dyDescent="0.35">
      <c r="A11" s="320"/>
      <c r="B11" s="321"/>
      <c r="C11" s="209"/>
      <c r="D11" s="269" t="s">
        <v>32</v>
      </c>
      <c r="E11" s="270"/>
      <c r="F11" s="85">
        <v>40</v>
      </c>
      <c r="G11" s="281"/>
      <c r="H11" s="83" t="s">
        <v>33</v>
      </c>
      <c r="I11" s="175" t="s">
        <v>34</v>
      </c>
      <c r="J11" s="83" t="s">
        <v>35</v>
      </c>
      <c r="K11" s="178" t="s">
        <v>36</v>
      </c>
      <c r="L11" s="132"/>
      <c r="M11" s="225"/>
      <c r="N11" s="226"/>
      <c r="O11" s="69"/>
      <c r="P11" s="300"/>
      <c r="Q11" s="300"/>
    </row>
    <row r="12" spans="1:23" ht="40.5" customHeight="1" x14ac:dyDescent="0.35">
      <c r="A12" s="316"/>
      <c r="B12" s="317"/>
      <c r="C12" s="209"/>
      <c r="D12" s="271" t="s">
        <v>37</v>
      </c>
      <c r="E12" s="272"/>
      <c r="F12" s="273"/>
      <c r="G12" s="281"/>
      <c r="H12" s="84" t="s">
        <v>38</v>
      </c>
      <c r="I12" s="60">
        <v>3.32</v>
      </c>
      <c r="J12" s="83" t="s">
        <v>39</v>
      </c>
      <c r="K12" s="140">
        <v>39</v>
      </c>
      <c r="L12" s="33" t="s">
        <v>40</v>
      </c>
      <c r="M12" s="349"/>
      <c r="N12" s="350"/>
      <c r="O12" s="69" t="s">
        <v>41</v>
      </c>
      <c r="P12" s="4"/>
      <c r="Q12" s="4"/>
    </row>
    <row r="13" spans="1:23" ht="44.25" customHeight="1" x14ac:dyDescent="0.35">
      <c r="A13" s="314" t="s">
        <v>42</v>
      </c>
      <c r="B13" s="315"/>
      <c r="C13" s="209"/>
      <c r="D13" s="274" t="s">
        <v>43</v>
      </c>
      <c r="E13" s="275"/>
      <c r="F13" s="276"/>
      <c r="G13" s="281"/>
      <c r="H13" s="285"/>
      <c r="I13" s="285"/>
      <c r="J13" s="285"/>
      <c r="K13" s="285"/>
      <c r="L13" s="33" t="s">
        <v>44</v>
      </c>
      <c r="M13" s="341" t="s">
        <v>45</v>
      </c>
      <c r="N13" s="342"/>
      <c r="O13" s="69"/>
      <c r="P13" s="4"/>
      <c r="Q13" s="4"/>
    </row>
    <row r="14" spans="1:23" s="10" customFormat="1" ht="62.25" customHeight="1" x14ac:dyDescent="0.35">
      <c r="A14" s="312"/>
      <c r="B14" s="313"/>
      <c r="C14" s="209"/>
      <c r="D14" s="266" t="s">
        <v>46</v>
      </c>
      <c r="E14" s="267"/>
      <c r="F14" s="268"/>
      <c r="G14" s="281"/>
      <c r="H14" s="286" t="s">
        <v>47</v>
      </c>
      <c r="I14" s="287"/>
      <c r="J14" s="287"/>
      <c r="K14" s="287"/>
      <c r="L14" s="37" t="s">
        <v>48</v>
      </c>
      <c r="M14" s="343" t="s">
        <v>49</v>
      </c>
      <c r="N14" s="344"/>
      <c r="O14" s="70"/>
      <c r="W14" s="7"/>
    </row>
    <row r="15" spans="1:23" ht="39" customHeight="1" x14ac:dyDescent="0.35">
      <c r="A15" s="310"/>
      <c r="B15" s="311"/>
      <c r="C15" s="209"/>
      <c r="D15" s="263" t="s">
        <v>50</v>
      </c>
      <c r="E15" s="264"/>
      <c r="F15" s="265"/>
      <c r="G15" s="281"/>
      <c r="H15" s="98"/>
      <c r="I15" s="294" t="s">
        <v>51</v>
      </c>
      <c r="J15" s="295"/>
      <c r="K15" s="296"/>
      <c r="L15" s="82" t="s">
        <v>52</v>
      </c>
      <c r="M15" s="351"/>
      <c r="N15" s="306"/>
    </row>
    <row r="16" spans="1:23" ht="33.75" customHeight="1" x14ac:dyDescent="0.4">
      <c r="A16" s="206"/>
      <c r="B16" s="207"/>
      <c r="C16" s="209"/>
      <c r="D16" s="211" t="s">
        <v>53</v>
      </c>
      <c r="E16" s="212"/>
      <c r="F16" s="213"/>
      <c r="G16" s="281"/>
      <c r="H16" s="352" t="s">
        <v>54</v>
      </c>
      <c r="I16" s="353"/>
      <c r="J16" s="353"/>
      <c r="K16" s="353"/>
      <c r="L16" s="82" t="s">
        <v>55</v>
      </c>
      <c r="M16" s="305" t="s">
        <v>56</v>
      </c>
      <c r="N16" s="306"/>
      <c r="Q16" s="12"/>
    </row>
    <row r="17" spans="1:28" ht="36" customHeight="1" x14ac:dyDescent="0.35">
      <c r="A17" s="129"/>
      <c r="B17" s="129"/>
      <c r="C17" s="209"/>
      <c r="D17" s="328"/>
      <c r="E17" s="329"/>
      <c r="F17" s="330"/>
      <c r="G17" s="281"/>
      <c r="L17" s="82" t="s">
        <v>57</v>
      </c>
      <c r="M17" s="307" t="s">
        <v>58</v>
      </c>
      <c r="N17" s="308"/>
      <c r="O17" s="69"/>
      <c r="P17" s="4"/>
      <c r="Q17" s="4"/>
    </row>
    <row r="18" spans="1:28" s="16" customFormat="1" ht="61.5" customHeight="1" x14ac:dyDescent="0.35">
      <c r="A18" s="195"/>
      <c r="B18" s="205"/>
      <c r="C18" s="209"/>
      <c r="D18" s="246" t="s">
        <v>59</v>
      </c>
      <c r="E18" s="247"/>
      <c r="F18" s="248"/>
      <c r="G18" s="281"/>
      <c r="H18" s="354"/>
      <c r="I18" s="355"/>
      <c r="J18" s="355"/>
      <c r="K18" s="356"/>
      <c r="L18" s="99" t="s">
        <v>60</v>
      </c>
      <c r="M18" s="78" t="s">
        <v>34</v>
      </c>
      <c r="N18" s="62"/>
      <c r="O18" s="67"/>
      <c r="P18" s="4"/>
      <c r="Q18" s="4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1:28" s="16" customFormat="1" ht="43.5" customHeight="1" x14ac:dyDescent="0.35">
      <c r="A19" s="195"/>
      <c r="B19" s="196"/>
      <c r="C19" s="209"/>
      <c r="D19" s="133" t="s">
        <v>61</v>
      </c>
      <c r="E19" s="134"/>
      <c r="F19" s="135"/>
      <c r="G19" s="281"/>
      <c r="H19" s="194"/>
      <c r="I19" s="193"/>
      <c r="J19" s="193"/>
      <c r="K19" s="193"/>
      <c r="L19" s="99"/>
      <c r="M19" s="78" t="s">
        <v>58</v>
      </c>
      <c r="N19" s="64"/>
      <c r="O19" s="67"/>
      <c r="P19" s="4"/>
      <c r="Q19" s="4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 ht="52.5" customHeight="1" x14ac:dyDescent="0.35">
      <c r="A20" s="197" t="s">
        <v>62</v>
      </c>
      <c r="B20" s="198"/>
      <c r="C20" s="209"/>
      <c r="D20" s="127"/>
      <c r="E20" s="127"/>
      <c r="F20" s="92"/>
      <c r="G20" s="281"/>
      <c r="H20" s="193"/>
      <c r="I20" s="193"/>
      <c r="J20" s="193"/>
      <c r="K20" s="193"/>
      <c r="L20" s="100" t="s">
        <v>63</v>
      </c>
      <c r="M20" s="78" t="s">
        <v>34</v>
      </c>
      <c r="N20" s="79"/>
      <c r="O20" s="71"/>
      <c r="P20" s="6"/>
      <c r="Q20" s="6"/>
    </row>
    <row r="21" spans="1:28" s="9" customFormat="1" ht="45" customHeight="1" x14ac:dyDescent="0.4">
      <c r="A21" s="191"/>
      <c r="B21" s="192"/>
      <c r="C21" s="209"/>
      <c r="D21" s="202"/>
      <c r="E21" s="203"/>
      <c r="F21" s="204"/>
      <c r="G21" s="281"/>
      <c r="H21" s="288"/>
      <c r="I21" s="289"/>
      <c r="J21" s="289"/>
      <c r="K21" s="289"/>
      <c r="L21" s="32" t="s">
        <v>64</v>
      </c>
      <c r="M21" s="80" t="s">
        <v>34</v>
      </c>
      <c r="N21" s="62"/>
      <c r="O21" s="69"/>
      <c r="P21" s="4"/>
      <c r="Q21" s="4"/>
      <c r="W21" s="7"/>
    </row>
    <row r="22" spans="1:28" s="9" customFormat="1" ht="42.75" customHeight="1" x14ac:dyDescent="0.4">
      <c r="A22" s="189"/>
      <c r="B22" s="190"/>
      <c r="C22" s="209"/>
      <c r="D22" s="199"/>
      <c r="E22" s="200"/>
      <c r="F22" s="201"/>
      <c r="G22" s="281"/>
      <c r="L22" s="32" t="s">
        <v>65</v>
      </c>
      <c r="M22" s="78" t="s">
        <v>34</v>
      </c>
      <c r="N22" s="61"/>
      <c r="O22" s="69"/>
      <c r="P22" s="4"/>
      <c r="Q22" s="4"/>
      <c r="W22" s="7"/>
    </row>
    <row r="23" spans="1:28" ht="37.5" customHeight="1" x14ac:dyDescent="0.35">
      <c r="A23" s="244"/>
      <c r="B23" s="245"/>
      <c r="C23" s="209"/>
      <c r="D23" s="241" t="s">
        <v>66</v>
      </c>
      <c r="E23" s="242"/>
      <c r="F23" s="243"/>
      <c r="G23" s="281"/>
      <c r="L23" s="335" t="s">
        <v>67</v>
      </c>
      <c r="M23" s="336"/>
      <c r="N23" s="337"/>
      <c r="O23" s="69"/>
      <c r="P23" s="4"/>
      <c r="Q23" s="4"/>
    </row>
    <row r="24" spans="1:28" ht="46.5" customHeight="1" x14ac:dyDescent="0.35">
      <c r="A24" s="229"/>
      <c r="B24" s="230"/>
      <c r="C24" s="209"/>
      <c r="D24" s="235" t="s">
        <v>8</v>
      </c>
      <c r="E24" s="236"/>
      <c r="F24" s="237"/>
      <c r="G24" s="281"/>
      <c r="L24" s="338"/>
      <c r="M24" s="339"/>
      <c r="N24" s="340"/>
      <c r="O24" s="69"/>
      <c r="P24" s="4"/>
      <c r="Q24" s="4"/>
    </row>
    <row r="25" spans="1:28" s="8" customFormat="1" ht="45" customHeight="1" x14ac:dyDescent="0.35">
      <c r="A25" s="227"/>
      <c r="B25" s="228"/>
      <c r="C25" s="209"/>
      <c r="D25" s="238"/>
      <c r="E25" s="239"/>
      <c r="F25" s="240"/>
      <c r="G25" s="281"/>
      <c r="H25" s="252"/>
      <c r="I25" s="252"/>
      <c r="J25" s="252"/>
      <c r="K25" s="252"/>
      <c r="L25" s="86" t="s">
        <v>68</v>
      </c>
      <c r="N25" s="149" t="s">
        <v>69</v>
      </c>
      <c r="O25" s="69"/>
      <c r="P25" s="4"/>
      <c r="Q25" s="4"/>
      <c r="W25" s="7"/>
    </row>
    <row r="26" spans="1:28" x14ac:dyDescent="0.35">
      <c r="A26" s="225"/>
      <c r="B26" s="226"/>
      <c r="C26" s="209"/>
      <c r="D26" s="3"/>
      <c r="E26" s="3"/>
      <c r="F26" s="3"/>
      <c r="G26" s="281"/>
      <c r="L26" s="86" t="s">
        <v>70</v>
      </c>
      <c r="M26" s="250"/>
      <c r="N26" s="251"/>
      <c r="O26" s="69"/>
      <c r="P26" s="4"/>
      <c r="Q26" s="4"/>
    </row>
    <row r="27" spans="1:28" ht="28.9" customHeight="1" x14ac:dyDescent="0.35">
      <c r="A27" s="223" t="s">
        <v>71</v>
      </c>
      <c r="B27" s="224"/>
      <c r="C27" s="209"/>
      <c r="D27" s="58"/>
      <c r="E27" s="58"/>
      <c r="F27" s="58"/>
      <c r="G27" s="281"/>
      <c r="H27" s="252"/>
      <c r="I27" s="253"/>
      <c r="J27" s="253"/>
      <c r="K27" s="253"/>
      <c r="L27" s="34" t="s">
        <v>72</v>
      </c>
      <c r="M27" s="255">
        <v>46229</v>
      </c>
      <c r="N27" s="256"/>
      <c r="O27" s="69"/>
      <c r="P27" s="4"/>
      <c r="Q27" s="4"/>
    </row>
    <row r="28" spans="1:28" ht="40.5" customHeight="1" x14ac:dyDescent="0.35">
      <c r="A28" s="217" t="s">
        <v>73</v>
      </c>
      <c r="B28" s="218"/>
      <c r="C28" s="210"/>
      <c r="D28" s="51"/>
      <c r="E28" s="51"/>
      <c r="F28" s="51"/>
      <c r="G28" s="282"/>
      <c r="H28" s="63" t="s">
        <v>74</v>
      </c>
      <c r="I28" s="254"/>
      <c r="J28" s="254"/>
      <c r="K28" s="254"/>
      <c r="L28" s="64"/>
      <c r="M28" s="64"/>
      <c r="N28" s="3"/>
      <c r="O28" s="69"/>
      <c r="P28" s="4"/>
    </row>
    <row r="29" spans="1:28" ht="30" hidden="1" customHeight="1" thickBot="1" x14ac:dyDescent="0.6">
      <c r="A29" s="219"/>
      <c r="B29" s="220"/>
      <c r="C29" s="73"/>
      <c r="D29" s="50"/>
      <c r="E29" s="50"/>
      <c r="F29" s="50"/>
      <c r="G29" s="97"/>
      <c r="H29" s="64"/>
      <c r="I29" s="65"/>
      <c r="J29" s="66"/>
      <c r="K29" s="64"/>
      <c r="L29" s="257" t="s">
        <v>75</v>
      </c>
      <c r="M29" s="258"/>
      <c r="N29" s="258"/>
      <c r="O29" s="72"/>
    </row>
    <row r="30" spans="1:28" ht="59.25" customHeight="1" x14ac:dyDescent="0.35">
      <c r="A30" s="221"/>
      <c r="B30" s="222"/>
      <c r="C30" s="93"/>
      <c r="D30" s="59"/>
      <c r="E30" s="59"/>
      <c r="F30" s="59"/>
      <c r="G30" s="93"/>
      <c r="H30" s="58"/>
      <c r="I30" s="58"/>
      <c r="J30" s="101"/>
      <c r="K30" s="52"/>
      <c r="L30" s="259"/>
      <c r="M30" s="260"/>
      <c r="N30" s="260"/>
      <c r="O30" s="72"/>
    </row>
    <row r="31" spans="1:28" ht="64.5" customHeight="1" x14ac:dyDescent="0.35">
      <c r="A31" s="49"/>
      <c r="B31" s="49"/>
      <c r="C31" s="94"/>
      <c r="G31" s="94"/>
      <c r="H31" s="51"/>
      <c r="I31" s="53"/>
      <c r="J31" s="101"/>
      <c r="K31" s="53"/>
      <c r="L31" s="249" t="s">
        <v>76</v>
      </c>
      <c r="M31" s="249"/>
      <c r="N31" s="249"/>
      <c r="O31" s="72"/>
    </row>
    <row r="32" spans="1:28" ht="77.25" customHeight="1" x14ac:dyDescent="0.55000000000000004">
      <c r="A32" s="58"/>
      <c r="B32" s="58"/>
      <c r="C32" s="95"/>
      <c r="G32" s="95"/>
      <c r="H32" s="51"/>
      <c r="I32" s="51"/>
      <c r="J32" s="101"/>
      <c r="K32" s="51"/>
      <c r="L32" s="5"/>
      <c r="M32" s="5"/>
      <c r="O32" s="72"/>
    </row>
    <row r="33" spans="1:15" ht="123" customHeight="1" x14ac:dyDescent="0.4">
      <c r="A33" s="51"/>
      <c r="B33" s="57"/>
      <c r="C33" s="96"/>
      <c r="G33" s="74"/>
      <c r="H33" s="13"/>
      <c r="I33" s="13"/>
      <c r="J33" s="101"/>
      <c r="K33" s="13"/>
      <c r="L33" s="14"/>
      <c r="M33" s="14"/>
    </row>
    <row r="34" spans="1:15" ht="130.5" customHeight="1" x14ac:dyDescent="0.55000000000000004">
      <c r="A34" s="50"/>
      <c r="B34" s="50"/>
      <c r="C34" s="75"/>
      <c r="G34" s="75"/>
      <c r="H34" s="14"/>
      <c r="I34" s="14"/>
      <c r="J34" s="101"/>
      <c r="K34" s="14"/>
    </row>
    <row r="35" spans="1:15" ht="33" customHeight="1" x14ac:dyDescent="0.35">
      <c r="A35" s="14"/>
      <c r="B35" s="59"/>
      <c r="K35" s="67"/>
      <c r="N35" s="67"/>
      <c r="O35" s="7"/>
    </row>
    <row r="36" spans="1:15" ht="33" customHeight="1" x14ac:dyDescent="0.35">
      <c r="A36" s="14"/>
      <c r="B36" s="14"/>
      <c r="K36" s="67"/>
      <c r="N36" s="67"/>
      <c r="O36" s="7"/>
    </row>
    <row r="37" spans="1:15" ht="33" customHeight="1" x14ac:dyDescent="0.35">
      <c r="A37" s="7"/>
      <c r="K37" s="67"/>
      <c r="N37" s="67"/>
      <c r="O37" s="11"/>
    </row>
    <row r="38" spans="1:15" x14ac:dyDescent="0.35">
      <c r="A38" s="7"/>
      <c r="K38" s="67"/>
      <c r="N38" s="67"/>
      <c r="O38" s="7"/>
    </row>
    <row r="39" spans="1:15" x14ac:dyDescent="0.35">
      <c r="A39" s="7"/>
      <c r="K39" s="67"/>
      <c r="N39" s="67"/>
      <c r="O39" s="7"/>
    </row>
    <row r="58" spans="95:95" x14ac:dyDescent="0.35">
      <c r="CQ58" s="7" t="s">
        <v>77</v>
      </c>
    </row>
  </sheetData>
  <protectedRanges>
    <protectedRange sqref="A1 B2:K2" name="Range1"/>
  </protectedRanges>
  <mergeCells count="83">
    <mergeCell ref="A7:B7"/>
    <mergeCell ref="A6:B6"/>
    <mergeCell ref="A5:B5"/>
    <mergeCell ref="L23:N24"/>
    <mergeCell ref="M13:N13"/>
    <mergeCell ref="M14:N14"/>
    <mergeCell ref="M5:N5"/>
    <mergeCell ref="M10:N10"/>
    <mergeCell ref="M11:N11"/>
    <mergeCell ref="M6:N6"/>
    <mergeCell ref="M7:N7"/>
    <mergeCell ref="M8:N8"/>
    <mergeCell ref="M12:N12"/>
    <mergeCell ref="M15:N15"/>
    <mergeCell ref="H16:K16"/>
    <mergeCell ref="H18:K18"/>
    <mergeCell ref="P2:Q11"/>
    <mergeCell ref="L1:N2"/>
    <mergeCell ref="M16:N16"/>
    <mergeCell ref="M17:N17"/>
    <mergeCell ref="A1:K2"/>
    <mergeCell ref="A15:B15"/>
    <mergeCell ref="A14:B14"/>
    <mergeCell ref="A13:B13"/>
    <mergeCell ref="A12:B12"/>
    <mergeCell ref="A3:B3"/>
    <mergeCell ref="A11:B11"/>
    <mergeCell ref="A9:B9"/>
    <mergeCell ref="A8:B8"/>
    <mergeCell ref="A4:B4"/>
    <mergeCell ref="D17:F17"/>
    <mergeCell ref="F4:F5"/>
    <mergeCell ref="H3:K3"/>
    <mergeCell ref="H4:K4"/>
    <mergeCell ref="G3:G28"/>
    <mergeCell ref="H10:K10"/>
    <mergeCell ref="H13:K13"/>
    <mergeCell ref="H14:K14"/>
    <mergeCell ref="H25:K25"/>
    <mergeCell ref="H21:K21"/>
    <mergeCell ref="H5:K5"/>
    <mergeCell ref="H6:K6"/>
    <mergeCell ref="I15:K15"/>
    <mergeCell ref="H8:K8"/>
    <mergeCell ref="H9:K9"/>
    <mergeCell ref="H7:K7"/>
    <mergeCell ref="D10:E10"/>
    <mergeCell ref="D15:F15"/>
    <mergeCell ref="D14:F14"/>
    <mergeCell ref="D11:E11"/>
    <mergeCell ref="D12:F12"/>
    <mergeCell ref="D13:F13"/>
    <mergeCell ref="L31:N31"/>
    <mergeCell ref="M26:N26"/>
    <mergeCell ref="H27:K27"/>
    <mergeCell ref="I28:K28"/>
    <mergeCell ref="M27:N27"/>
    <mergeCell ref="L29:N29"/>
    <mergeCell ref="L30:N30"/>
    <mergeCell ref="A18:B18"/>
    <mergeCell ref="A16:B16"/>
    <mergeCell ref="C3:C28"/>
    <mergeCell ref="D16:F16"/>
    <mergeCell ref="D3:F3"/>
    <mergeCell ref="A28:B30"/>
    <mergeCell ref="A27:B27"/>
    <mergeCell ref="A26:B26"/>
    <mergeCell ref="A25:B25"/>
    <mergeCell ref="A24:B24"/>
    <mergeCell ref="D4:D5"/>
    <mergeCell ref="E4:E5"/>
    <mergeCell ref="D24:F25"/>
    <mergeCell ref="D23:F23"/>
    <mergeCell ref="A23:B23"/>
    <mergeCell ref="D18:F18"/>
    <mergeCell ref="A22:B22"/>
    <mergeCell ref="A21:B21"/>
    <mergeCell ref="H20:K20"/>
    <mergeCell ref="H19:K19"/>
    <mergeCell ref="A19:B19"/>
    <mergeCell ref="A20:B20"/>
    <mergeCell ref="D22:F22"/>
    <mergeCell ref="D21:F21"/>
  </mergeCells>
  <phoneticPr fontId="4" type="noConversion"/>
  <dataValidations count="1">
    <dataValidation type="list" allowBlank="1" showInputMessage="1" showErrorMessage="1" sqref="M3 D3" xr:uid="{1706EB63-459D-4EDD-A810-2B4A9C1A45D4}">
      <formula1>"AM, PM"</formula1>
    </dataValidation>
  </dataValidations>
  <hyperlinks>
    <hyperlink ref="D24:E25" r:id="rId1" display="Dayshift Nightshift Assignment Worksheet" xr:uid="{A640F8EA-809D-465E-836F-FC490EAD37B0}"/>
    <hyperlink ref="D24:F25" r:id="rId2" display="Dayshift Nightshift Assignment Worksheet" xr:uid="{29A76EAD-89D4-4579-9490-57F64EC80EF0}"/>
  </hyperlinks>
  <printOptions gridLines="1"/>
  <pageMargins left="0.7" right="0.7" top="0.75" bottom="0.75" header="0.3" footer="0.3"/>
  <pageSetup scale="46" fitToWidth="0" fitToHeight="0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75DD-34A5-4535-B523-D719B8DD2500}">
  <sheetPr codeName="Sheet11">
    <tabColor rgb="FF92D050"/>
    <pageSetUpPr fitToPage="1"/>
  </sheetPr>
  <dimension ref="A1:AC22"/>
  <sheetViews>
    <sheetView zoomScale="90" zoomScaleNormal="90" workbookViewId="0">
      <selection activeCell="A4" sqref="A4:AC7"/>
    </sheetView>
  </sheetViews>
  <sheetFormatPr defaultRowHeight="15" x14ac:dyDescent="0.25"/>
  <cols>
    <col min="1" max="1" width="8.5703125" bestFit="1" customWidth="1"/>
    <col min="2" max="2" width="20.28515625" style="15" customWidth="1"/>
    <col min="3" max="3" width="15" customWidth="1"/>
    <col min="4" max="4" width="13.85546875" bestFit="1" customWidth="1"/>
    <col min="5" max="5" width="12" bestFit="1" customWidth="1"/>
    <col min="6" max="6" width="9.85546875" customWidth="1"/>
    <col min="7" max="7" width="16.28515625" hidden="1" customWidth="1"/>
    <col min="8" max="8" width="13.28515625" bestFit="1" customWidth="1"/>
    <col min="9" max="9" width="17.140625" customWidth="1"/>
    <col min="10" max="10" width="11.140625" hidden="1" customWidth="1"/>
    <col min="11" max="11" width="19.5703125" customWidth="1"/>
    <col min="12" max="12" width="29.42578125" bestFit="1" customWidth="1"/>
    <col min="13" max="13" width="14" customWidth="1"/>
    <col min="14" max="14" width="17.140625" customWidth="1"/>
    <col min="15" max="15" width="19.140625" customWidth="1"/>
    <col min="16" max="16" width="26.28515625" customWidth="1"/>
    <col min="17" max="17" width="10.85546875" customWidth="1"/>
    <col min="18" max="29" width="43.5703125" customWidth="1"/>
    <col min="30" max="30" width="8.7109375" customWidth="1"/>
  </cols>
  <sheetData>
    <row r="1" spans="1:29" ht="31.5" x14ac:dyDescent="0.25">
      <c r="A1" s="360" t="s">
        <v>83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2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29" x14ac:dyDescent="0.25">
      <c r="A2" s="357" t="s">
        <v>84</v>
      </c>
      <c r="B2" s="358"/>
      <c r="C2" s="358"/>
      <c r="D2" s="359"/>
      <c r="E2" s="358"/>
      <c r="F2" s="363" t="s">
        <v>85</v>
      </c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4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29" x14ac:dyDescent="0.25">
      <c r="A3" s="365" t="s">
        <v>86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P3" s="366"/>
      <c r="Q3" s="366"/>
      <c r="R3" s="367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</row>
    <row r="4" spans="1:29" s="141" customFormat="1" ht="35.1" customHeight="1" x14ac:dyDescent="0.25">
      <c r="A4" s="143" t="s">
        <v>1</v>
      </c>
      <c r="B4" s="148" t="s">
        <v>2</v>
      </c>
      <c r="C4" s="142" t="s">
        <v>80</v>
      </c>
      <c r="D4" s="142" t="s">
        <v>87</v>
      </c>
      <c r="E4" s="142" t="s">
        <v>88</v>
      </c>
      <c r="F4" s="142" t="s">
        <v>89</v>
      </c>
      <c r="G4" s="142" t="s">
        <v>90</v>
      </c>
      <c r="H4" s="142" t="s">
        <v>91</v>
      </c>
      <c r="I4" s="142" t="s">
        <v>92</v>
      </c>
      <c r="J4" s="144" t="s">
        <v>78</v>
      </c>
      <c r="K4" s="145" t="s">
        <v>93</v>
      </c>
      <c r="L4" s="146" t="s">
        <v>94</v>
      </c>
      <c r="M4" s="142" t="s">
        <v>95</v>
      </c>
      <c r="N4" s="142" t="s">
        <v>96</v>
      </c>
      <c r="O4" s="142" t="s">
        <v>97</v>
      </c>
      <c r="P4" s="142" t="s">
        <v>98</v>
      </c>
      <c r="Q4" s="142" t="s">
        <v>99</v>
      </c>
      <c r="R4" s="147" t="s">
        <v>100</v>
      </c>
      <c r="S4" t="s">
        <v>101</v>
      </c>
      <c r="T4" t="s">
        <v>102</v>
      </c>
      <c r="U4" t="s">
        <v>103</v>
      </c>
      <c r="V4" t="s">
        <v>104</v>
      </c>
      <c r="W4" t="s">
        <v>105</v>
      </c>
      <c r="X4" t="s">
        <v>106</v>
      </c>
      <c r="Y4" t="s">
        <v>107</v>
      </c>
      <c r="Z4" t="s">
        <v>108</v>
      </c>
      <c r="AA4" t="s">
        <v>109</v>
      </c>
      <c r="AB4" t="s">
        <v>110</v>
      </c>
      <c r="AC4" t="s">
        <v>111</v>
      </c>
    </row>
    <row r="5" spans="1:29" s="141" customFormat="1" ht="35.1" customHeight="1" x14ac:dyDescent="0.25">
      <c r="A5" s="151">
        <v>7807</v>
      </c>
      <c r="B5" s="152" t="s">
        <v>112</v>
      </c>
      <c r="C5" s="153">
        <v>512474947</v>
      </c>
      <c r="D5" s="153" t="s">
        <v>113</v>
      </c>
      <c r="E5" s="153" t="s">
        <v>81</v>
      </c>
      <c r="F5" s="154"/>
      <c r="G5" s="155">
        <v>83.4</v>
      </c>
      <c r="H5" s="142" t="s">
        <v>114</v>
      </c>
      <c r="I5" s="142" t="s">
        <v>115</v>
      </c>
      <c r="J5" s="144" t="s">
        <v>116</v>
      </c>
      <c r="K5" s="145">
        <v>46279</v>
      </c>
      <c r="L5" s="156">
        <v>46282</v>
      </c>
      <c r="M5" s="142" t="s">
        <v>117</v>
      </c>
      <c r="N5" s="142" t="s">
        <v>118</v>
      </c>
      <c r="O5" s="157" t="s">
        <v>119</v>
      </c>
      <c r="P5" s="158" t="s">
        <v>116</v>
      </c>
      <c r="Q5" s="159" t="s">
        <v>116</v>
      </c>
      <c r="R5" s="147" t="s">
        <v>120</v>
      </c>
      <c r="S5" t="s">
        <v>116</v>
      </c>
      <c r="T5"/>
      <c r="U5">
        <v>26</v>
      </c>
      <c r="V5" t="s">
        <v>121</v>
      </c>
      <c r="W5" t="s">
        <v>116</v>
      </c>
      <c r="X5" t="s">
        <v>122</v>
      </c>
      <c r="Y5" t="s">
        <v>123</v>
      </c>
      <c r="Z5" t="s">
        <v>124</v>
      </c>
      <c r="AA5" t="s">
        <v>125</v>
      </c>
      <c r="AB5" t="s">
        <v>126</v>
      </c>
      <c r="AC5" t="s">
        <v>127</v>
      </c>
    </row>
    <row r="6" spans="1:29" s="141" customFormat="1" ht="35.1" customHeight="1" x14ac:dyDescent="0.25">
      <c r="A6" s="151">
        <v>7813</v>
      </c>
      <c r="B6" s="152" t="s">
        <v>128</v>
      </c>
      <c r="C6" s="153">
        <v>511922674</v>
      </c>
      <c r="D6" s="153" t="s">
        <v>129</v>
      </c>
      <c r="E6" s="153" t="s">
        <v>81</v>
      </c>
      <c r="F6" s="154">
        <v>1</v>
      </c>
      <c r="G6" s="155">
        <v>63.8</v>
      </c>
      <c r="H6" s="142" t="s">
        <v>82</v>
      </c>
      <c r="I6" s="142" t="s">
        <v>115</v>
      </c>
      <c r="J6" s="144" t="s">
        <v>116</v>
      </c>
      <c r="K6" s="145">
        <v>46278</v>
      </c>
      <c r="L6" s="156">
        <v>46281</v>
      </c>
      <c r="M6" s="142" t="s">
        <v>130</v>
      </c>
      <c r="N6" s="142" t="s">
        <v>118</v>
      </c>
      <c r="O6" s="157" t="s">
        <v>131</v>
      </c>
      <c r="P6" s="158" t="s">
        <v>116</v>
      </c>
      <c r="Q6" s="159" t="s">
        <v>132</v>
      </c>
      <c r="R6" s="147" t="s">
        <v>116</v>
      </c>
      <c r="S6" t="s">
        <v>116</v>
      </c>
      <c r="T6"/>
      <c r="U6">
        <v>5</v>
      </c>
      <c r="V6" t="s">
        <v>133</v>
      </c>
      <c r="W6" t="s">
        <v>116</v>
      </c>
      <c r="X6" t="s">
        <v>134</v>
      </c>
      <c r="Y6" t="s">
        <v>135</v>
      </c>
      <c r="Z6" t="s">
        <v>136</v>
      </c>
      <c r="AA6" t="s">
        <v>137</v>
      </c>
      <c r="AB6" t="s">
        <v>126</v>
      </c>
      <c r="AC6" t="s">
        <v>138</v>
      </c>
    </row>
    <row r="7" spans="1:29" s="141" customFormat="1" ht="35.1" customHeight="1" x14ac:dyDescent="0.25">
      <c r="A7" s="151">
        <v>7822</v>
      </c>
      <c r="B7" s="152" t="s">
        <v>139</v>
      </c>
      <c r="C7" s="153">
        <v>511682942</v>
      </c>
      <c r="D7" s="153" t="s">
        <v>140</v>
      </c>
      <c r="E7" s="153" t="s">
        <v>141</v>
      </c>
      <c r="F7" s="154">
        <v>23</v>
      </c>
      <c r="G7" s="155">
        <v>72.599999999999994</v>
      </c>
      <c r="H7" s="142" t="s">
        <v>142</v>
      </c>
      <c r="I7" s="142" t="s">
        <v>143</v>
      </c>
      <c r="J7" s="144" t="s">
        <v>116</v>
      </c>
      <c r="K7" s="145">
        <v>46277</v>
      </c>
      <c r="L7" s="156">
        <v>46281</v>
      </c>
      <c r="M7" s="142" t="s">
        <v>144</v>
      </c>
      <c r="N7" s="142" t="s">
        <v>118</v>
      </c>
      <c r="O7" s="157" t="s">
        <v>145</v>
      </c>
      <c r="P7" s="158" t="s">
        <v>116</v>
      </c>
      <c r="Q7" s="159" t="s">
        <v>116</v>
      </c>
      <c r="R7" s="147" t="s">
        <v>146</v>
      </c>
      <c r="S7" t="s">
        <v>116</v>
      </c>
      <c r="T7"/>
      <c r="U7">
        <v>3</v>
      </c>
      <c r="V7" t="s">
        <v>147</v>
      </c>
      <c r="W7" t="s">
        <v>116</v>
      </c>
      <c r="X7" t="s">
        <v>148</v>
      </c>
      <c r="Y7" t="s">
        <v>149</v>
      </c>
      <c r="Z7" t="s">
        <v>124</v>
      </c>
      <c r="AA7" t="s">
        <v>150</v>
      </c>
      <c r="AB7" t="s">
        <v>151</v>
      </c>
      <c r="AC7" t="s">
        <v>152</v>
      </c>
    </row>
    <row r="16" spans="1:29" x14ac:dyDescent="0.25">
      <c r="R16" t="s">
        <v>153</v>
      </c>
    </row>
    <row r="22" spans="13:13" x14ac:dyDescent="0.25">
      <c r="M22" t="s">
        <v>41</v>
      </c>
    </row>
  </sheetData>
  <mergeCells count="5">
    <mergeCell ref="A2:C2"/>
    <mergeCell ref="D2:E2"/>
    <mergeCell ref="A1:R1"/>
    <mergeCell ref="F2:R2"/>
    <mergeCell ref="A3:R3"/>
  </mergeCells>
  <phoneticPr fontId="4" type="noConversion"/>
  <hyperlinks>
    <hyperlink ref="A3" r:id="rId1" display="https://ahsonline.sharepoint.com/teams/GT7Charge/Lists/GT7%20SURGIFLOW/AllItems.aspx?viewid=f80a9967%2D7136%2D4b61%2D9fd2%2D29e89b77f7c8&amp;env=WebViewList" xr:uid="{C01EC391-04FB-4891-9E25-529A72D520FD}"/>
    <hyperlink ref="A3:K3" r:id="rId2" display="CLICK HERE FOR TO GO DIRECTLY TO SURGIFLOW" xr:uid="{66FC9B9D-8F0A-4FEF-8DB3-E0FEAE614891}"/>
  </hyperlinks>
  <printOptions verticalCentered="1"/>
  <pageMargins left="0.25" right="0.25" top="0.75" bottom="0.75" header="0.3" footer="0.3"/>
  <pageSetup scale="35" fitToHeight="0"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1CBAA-9652-4C18-B97A-982E5CE9956A}">
  <sheetPr codeName="Sheet14">
    <tabColor rgb="FF7030A0"/>
    <pageSetUpPr fitToPage="1"/>
  </sheetPr>
  <dimension ref="A1:AG28"/>
  <sheetViews>
    <sheetView zoomScale="60" zoomScaleNormal="60" workbookViewId="0">
      <selection activeCell="X8" sqref="X8"/>
    </sheetView>
  </sheetViews>
  <sheetFormatPr defaultColWidth="9.140625" defaultRowHeight="21" x14ac:dyDescent="0.35"/>
  <cols>
    <col min="1" max="1" width="36" style="19" customWidth="1"/>
    <col min="2" max="2" width="16.140625" style="20" customWidth="1"/>
    <col min="3" max="3" width="12.85546875" style="20" customWidth="1"/>
    <col min="4" max="4" width="32.5703125" style="25" customWidth="1"/>
    <col min="5" max="5" width="5.7109375" style="26" customWidth="1"/>
    <col min="6" max="6" width="5.7109375" style="27" customWidth="1"/>
    <col min="7" max="7" width="9.7109375" style="28" customWidth="1"/>
    <col min="8" max="8" width="9.5703125" style="28" customWidth="1"/>
    <col min="9" max="9" width="6.42578125" style="28" customWidth="1"/>
    <col min="10" max="10" width="10.42578125" style="28" customWidth="1"/>
    <col min="11" max="11" width="6.85546875" style="29" customWidth="1"/>
    <col min="12" max="12" width="78" style="30" customWidth="1"/>
    <col min="13" max="13" width="17" style="21" customWidth="1"/>
    <col min="14" max="14" width="6.7109375" style="22" customWidth="1"/>
    <col min="15" max="15" width="6" style="22" customWidth="1"/>
    <col min="16" max="17" width="8" style="23" customWidth="1"/>
    <col min="18" max="20" width="8.5703125" style="23" customWidth="1"/>
    <col min="21" max="21" width="11" style="23" customWidth="1"/>
    <col min="22" max="22" width="21.7109375" style="23" hidden="1" customWidth="1"/>
    <col min="23" max="23" width="50.28515625" style="36" customWidth="1"/>
    <col min="24" max="24" width="30" style="41" customWidth="1"/>
    <col min="25" max="25" width="11.7109375" style="23" customWidth="1"/>
    <col min="26" max="26" width="17.140625" style="23" customWidth="1"/>
    <col min="27" max="16384" width="9.140625" style="23"/>
  </cols>
  <sheetData>
    <row r="1" spans="1:33" s="17" customFormat="1" ht="51" customHeight="1" x14ac:dyDescent="0.45">
      <c r="A1" s="186" t="s">
        <v>154</v>
      </c>
      <c r="B1" s="186"/>
      <c r="C1" s="186"/>
      <c r="D1" s="186"/>
      <c r="E1" s="186"/>
      <c r="F1" s="185" t="s">
        <v>155</v>
      </c>
      <c r="G1" s="185"/>
      <c r="H1" s="185"/>
      <c r="I1" s="185"/>
      <c r="J1" s="185"/>
      <c r="K1" s="185"/>
      <c r="L1" s="185"/>
      <c r="M1" s="187" t="s">
        <v>298</v>
      </c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41"/>
    </row>
    <row r="2" spans="1:33" s="103" customFormat="1" ht="152.44999999999999" customHeight="1" x14ac:dyDescent="0.3">
      <c r="A2" s="31" t="s">
        <v>156</v>
      </c>
      <c r="B2" s="121" t="s">
        <v>157</v>
      </c>
      <c r="C2" s="121" t="s">
        <v>158</v>
      </c>
      <c r="D2" s="122" t="s">
        <v>159</v>
      </c>
      <c r="E2" s="105" t="s">
        <v>160</v>
      </c>
      <c r="F2" s="106" t="s">
        <v>161</v>
      </c>
      <c r="G2" s="106" t="s">
        <v>162</v>
      </c>
      <c r="H2" s="106" t="s">
        <v>163</v>
      </c>
      <c r="I2" s="106" t="s">
        <v>164</v>
      </c>
      <c r="J2" s="106" t="s">
        <v>165</v>
      </c>
      <c r="K2" s="107" t="s">
        <v>166</v>
      </c>
      <c r="L2" s="123" t="s">
        <v>167</v>
      </c>
      <c r="M2" s="108" t="s">
        <v>168</v>
      </c>
      <c r="N2" s="109" t="s">
        <v>169</v>
      </c>
      <c r="O2" s="110" t="s">
        <v>170</v>
      </c>
      <c r="P2" s="110" t="s">
        <v>171</v>
      </c>
      <c r="Q2" s="110" t="s">
        <v>172</v>
      </c>
      <c r="R2" s="110" t="s">
        <v>173</v>
      </c>
      <c r="S2" s="110" t="s">
        <v>174</v>
      </c>
      <c r="T2" s="110" t="s">
        <v>175</v>
      </c>
      <c r="U2" s="107" t="s">
        <v>176</v>
      </c>
      <c r="V2" s="111" t="s">
        <v>3</v>
      </c>
      <c r="W2" s="112" t="s">
        <v>177</v>
      </c>
      <c r="X2" s="124"/>
      <c r="Y2" s="125"/>
      <c r="Z2" s="125"/>
      <c r="AA2" s="125"/>
      <c r="AB2" s="125"/>
      <c r="AC2" s="125"/>
      <c r="AD2" s="125"/>
      <c r="AE2" s="125"/>
      <c r="AF2" s="125"/>
      <c r="AG2" s="126"/>
    </row>
    <row r="3" spans="1:33" s="18" customFormat="1" ht="46.5" customHeight="1" x14ac:dyDescent="0.25">
      <c r="A3" s="136" t="s">
        <v>505</v>
      </c>
      <c r="B3" s="113">
        <v>7802</v>
      </c>
      <c r="C3" s="114" t="b">
        <v>0</v>
      </c>
      <c r="D3" s="102" t="s">
        <v>504</v>
      </c>
      <c r="E3" s="115" t="s">
        <v>153</v>
      </c>
      <c r="F3" s="116" t="s">
        <v>153</v>
      </c>
      <c r="G3" s="116" t="s">
        <v>153</v>
      </c>
      <c r="H3" s="116" t="s">
        <v>153</v>
      </c>
      <c r="I3" s="116" t="s">
        <v>153</v>
      </c>
      <c r="J3" s="116" t="s">
        <v>153</v>
      </c>
      <c r="K3" s="116" t="s">
        <v>153</v>
      </c>
      <c r="L3" s="117" t="s">
        <v>202</v>
      </c>
      <c r="M3" s="118">
        <v>46286</v>
      </c>
      <c r="N3" s="177" t="s">
        <v>183</v>
      </c>
      <c r="O3" s="116"/>
      <c r="P3" s="116"/>
      <c r="Q3" s="116"/>
      <c r="R3" s="116"/>
      <c r="S3" s="116"/>
      <c r="T3" s="116"/>
      <c r="U3" s="116"/>
      <c r="V3" s="120"/>
      <c r="W3" s="128"/>
      <c r="X3" s="42"/>
    </row>
    <row r="4" spans="1:33" s="18" customFormat="1" ht="46.5" customHeight="1" x14ac:dyDescent="0.25">
      <c r="A4" s="136" t="s">
        <v>180</v>
      </c>
      <c r="B4" s="113">
        <v>7808</v>
      </c>
      <c r="C4" s="114" t="b">
        <v>0</v>
      </c>
      <c r="D4" s="102" t="s">
        <v>181</v>
      </c>
      <c r="E4" s="115" t="s">
        <v>153</v>
      </c>
      <c r="F4" s="116" t="s">
        <v>153</v>
      </c>
      <c r="G4" s="116" t="s">
        <v>153</v>
      </c>
      <c r="H4" s="116" t="s">
        <v>153</v>
      </c>
      <c r="I4" s="116" t="s">
        <v>153</v>
      </c>
      <c r="J4" s="116" t="s">
        <v>153</v>
      </c>
      <c r="K4" s="116" t="s">
        <v>153</v>
      </c>
      <c r="L4" s="117" t="s">
        <v>182</v>
      </c>
      <c r="M4" s="118">
        <v>46283</v>
      </c>
      <c r="N4" s="177" t="s">
        <v>183</v>
      </c>
      <c r="O4" s="116"/>
      <c r="P4" s="116"/>
      <c r="Q4" s="116"/>
      <c r="R4" s="116"/>
      <c r="S4" s="116"/>
      <c r="T4" s="116"/>
      <c r="U4" s="116"/>
      <c r="V4" s="120"/>
      <c r="W4" s="128"/>
      <c r="X4" s="42"/>
    </row>
    <row r="5" spans="1:33" s="18" customFormat="1" ht="46.5" customHeight="1" x14ac:dyDescent="0.25">
      <c r="A5" s="136" t="s">
        <v>184</v>
      </c>
      <c r="B5" s="113">
        <v>7811</v>
      </c>
      <c r="C5" s="114" t="b">
        <v>0</v>
      </c>
      <c r="D5" s="102" t="s">
        <v>185</v>
      </c>
      <c r="E5" s="115" t="s">
        <v>153</v>
      </c>
      <c r="F5" s="116" t="s">
        <v>186</v>
      </c>
      <c r="G5" s="116" t="s">
        <v>186</v>
      </c>
      <c r="H5" s="116" t="s">
        <v>186</v>
      </c>
      <c r="I5" s="116" t="s">
        <v>186</v>
      </c>
      <c r="J5" s="116" t="s">
        <v>186</v>
      </c>
      <c r="K5" s="116" t="s">
        <v>153</v>
      </c>
      <c r="L5" s="117" t="s">
        <v>187</v>
      </c>
      <c r="M5" s="118">
        <v>46285</v>
      </c>
      <c r="N5" s="177" t="s">
        <v>183</v>
      </c>
      <c r="O5" s="116"/>
      <c r="P5" s="116"/>
      <c r="Q5" s="116"/>
      <c r="R5" s="116"/>
      <c r="S5" s="116"/>
      <c r="T5" s="116"/>
      <c r="U5" s="116"/>
      <c r="V5" s="120"/>
      <c r="W5" s="128"/>
      <c r="X5" s="42"/>
    </row>
    <row r="6" spans="1:33" s="18" customFormat="1" ht="46.5" customHeight="1" x14ac:dyDescent="0.25">
      <c r="A6" s="136" t="s">
        <v>188</v>
      </c>
      <c r="B6" s="113">
        <v>7813</v>
      </c>
      <c r="C6" s="114" t="b">
        <v>0</v>
      </c>
      <c r="D6" s="102" t="s">
        <v>178</v>
      </c>
      <c r="E6" s="115" t="s">
        <v>153</v>
      </c>
      <c r="F6" s="116" t="s">
        <v>153</v>
      </c>
      <c r="G6" s="116" t="s">
        <v>153</v>
      </c>
      <c r="H6" s="116" t="s">
        <v>153</v>
      </c>
      <c r="I6" s="116" t="s">
        <v>153</v>
      </c>
      <c r="J6" s="116" t="s">
        <v>153</v>
      </c>
      <c r="K6" s="116" t="s">
        <v>153</v>
      </c>
      <c r="L6" s="117" t="s">
        <v>182</v>
      </c>
      <c r="M6" s="118">
        <v>46285</v>
      </c>
      <c r="N6" s="177" t="s">
        <v>179</v>
      </c>
      <c r="O6" s="116"/>
      <c r="P6" s="116"/>
      <c r="Q6" s="116"/>
      <c r="R6" s="116"/>
      <c r="S6" s="116"/>
      <c r="T6" s="116"/>
      <c r="U6" s="116"/>
      <c r="V6" s="120"/>
      <c r="W6" s="128"/>
      <c r="X6" s="42"/>
    </row>
    <row r="7" spans="1:33" s="18" customFormat="1" ht="46.5" customHeight="1" x14ac:dyDescent="0.25">
      <c r="A7" s="136" t="s">
        <v>189</v>
      </c>
      <c r="B7" s="113">
        <v>7816</v>
      </c>
      <c r="C7" s="114" t="b">
        <v>0</v>
      </c>
      <c r="D7" s="102" t="s">
        <v>190</v>
      </c>
      <c r="E7" s="115" t="s">
        <v>153</v>
      </c>
      <c r="F7" s="116" t="s">
        <v>186</v>
      </c>
      <c r="G7" s="116" t="s">
        <v>186</v>
      </c>
      <c r="H7" s="116" t="s">
        <v>186</v>
      </c>
      <c r="I7" s="116" t="s">
        <v>186</v>
      </c>
      <c r="J7" s="116" t="s">
        <v>186</v>
      </c>
      <c r="K7" s="116" t="s">
        <v>153</v>
      </c>
      <c r="L7" s="117" t="s">
        <v>191</v>
      </c>
      <c r="M7" s="118">
        <v>46287</v>
      </c>
      <c r="N7" s="119" t="s">
        <v>183</v>
      </c>
      <c r="O7" s="116"/>
      <c r="P7" s="116"/>
      <c r="Q7" s="116"/>
      <c r="R7" s="116"/>
      <c r="S7" s="116"/>
      <c r="T7" s="116"/>
      <c r="U7" s="116"/>
      <c r="V7" s="120"/>
      <c r="W7" s="128"/>
      <c r="X7" s="42"/>
    </row>
    <row r="8" spans="1:33" s="18" customFormat="1" ht="46.5" customHeight="1" x14ac:dyDescent="0.25">
      <c r="A8" s="136" t="s">
        <v>192</v>
      </c>
      <c r="B8" s="113">
        <v>7817</v>
      </c>
      <c r="C8" s="114" t="b">
        <v>0</v>
      </c>
      <c r="D8" s="102" t="s">
        <v>193</v>
      </c>
      <c r="E8" s="115" t="s">
        <v>183</v>
      </c>
      <c r="F8" s="116" t="s">
        <v>153</v>
      </c>
      <c r="G8" s="116" t="s">
        <v>153</v>
      </c>
      <c r="H8" s="116" t="s">
        <v>153</v>
      </c>
      <c r="I8" s="116" t="s">
        <v>153</v>
      </c>
      <c r="J8" s="116" t="s">
        <v>153</v>
      </c>
      <c r="K8" s="116" t="s">
        <v>153</v>
      </c>
      <c r="L8" s="117" t="s">
        <v>194</v>
      </c>
      <c r="M8" s="118">
        <v>46282</v>
      </c>
      <c r="N8" s="119" t="s">
        <v>183</v>
      </c>
      <c r="O8" s="116"/>
      <c r="P8" s="116"/>
      <c r="Q8" s="116"/>
      <c r="R8" s="116"/>
      <c r="S8" s="116"/>
      <c r="T8" s="116"/>
      <c r="U8" s="116"/>
      <c r="V8" s="120"/>
      <c r="W8" s="128"/>
      <c r="X8" s="42"/>
    </row>
    <row r="9" spans="1:33" s="18" customFormat="1" ht="46.5" customHeight="1" x14ac:dyDescent="0.25">
      <c r="A9" s="136" t="s">
        <v>195</v>
      </c>
      <c r="B9" s="113">
        <v>7819</v>
      </c>
      <c r="C9" s="114" t="b">
        <v>0</v>
      </c>
      <c r="D9" s="102" t="s">
        <v>196</v>
      </c>
      <c r="E9" s="115" t="s">
        <v>153</v>
      </c>
      <c r="F9" s="116" t="s">
        <v>153</v>
      </c>
      <c r="G9" s="116" t="s">
        <v>153</v>
      </c>
      <c r="H9" s="116" t="s">
        <v>153</v>
      </c>
      <c r="I9" s="116" t="s">
        <v>153</v>
      </c>
      <c r="J9" s="116" t="s">
        <v>153</v>
      </c>
      <c r="K9" s="116" t="s">
        <v>183</v>
      </c>
      <c r="L9" s="117" t="s">
        <v>194</v>
      </c>
      <c r="M9" s="118">
        <v>46283</v>
      </c>
      <c r="N9" s="119" t="s">
        <v>183</v>
      </c>
      <c r="O9" s="116"/>
      <c r="P9" s="116"/>
      <c r="Q9" s="116"/>
      <c r="R9" s="116"/>
      <c r="S9" s="116"/>
      <c r="T9" s="116"/>
      <c r="U9" s="116"/>
      <c r="V9" s="120"/>
      <c r="W9" s="128"/>
      <c r="X9" s="42"/>
    </row>
    <row r="10" spans="1:33" s="18" customFormat="1" ht="46.5" customHeight="1" x14ac:dyDescent="0.25">
      <c r="A10" s="136" t="s">
        <v>197</v>
      </c>
      <c r="B10" s="113">
        <v>7821</v>
      </c>
      <c r="C10" s="114" t="b">
        <v>0</v>
      </c>
      <c r="D10" s="179" t="s">
        <v>198</v>
      </c>
      <c r="E10" s="115" t="s">
        <v>153</v>
      </c>
      <c r="F10" s="182"/>
      <c r="G10" s="182"/>
      <c r="H10" s="182"/>
      <c r="I10" s="182"/>
      <c r="J10" s="182"/>
      <c r="K10" s="116" t="s">
        <v>58</v>
      </c>
      <c r="L10" s="117" t="s">
        <v>199</v>
      </c>
      <c r="M10" s="118"/>
      <c r="N10" s="119" t="s">
        <v>183</v>
      </c>
      <c r="O10" s="116" t="s">
        <v>153</v>
      </c>
      <c r="P10" s="116" t="s">
        <v>153</v>
      </c>
      <c r="Q10" s="116" t="s">
        <v>153</v>
      </c>
      <c r="R10" s="116" t="s">
        <v>153</v>
      </c>
      <c r="S10" s="116" t="s">
        <v>153</v>
      </c>
      <c r="T10" s="116" t="s">
        <v>153</v>
      </c>
      <c r="U10" s="116" t="s">
        <v>186</v>
      </c>
      <c r="V10" s="120"/>
      <c r="W10" s="128" t="s">
        <v>506</v>
      </c>
      <c r="X10" s="42"/>
    </row>
    <row r="11" spans="1:33" s="18" customFormat="1" ht="46.5" customHeight="1" x14ac:dyDescent="0.25">
      <c r="A11" s="136" t="s">
        <v>200</v>
      </c>
      <c r="B11" s="113">
        <v>7825</v>
      </c>
      <c r="C11" s="114" t="b">
        <v>1</v>
      </c>
      <c r="D11" s="102" t="s">
        <v>201</v>
      </c>
      <c r="E11" s="115" t="s">
        <v>153</v>
      </c>
      <c r="F11" s="116" t="s">
        <v>153</v>
      </c>
      <c r="G11" s="116" t="s">
        <v>153</v>
      </c>
      <c r="H11" s="116" t="s">
        <v>186</v>
      </c>
      <c r="I11" s="116" t="s">
        <v>58</v>
      </c>
      <c r="J11" s="116" t="s">
        <v>153</v>
      </c>
      <c r="K11" s="116" t="s">
        <v>153</v>
      </c>
      <c r="L11" s="117" t="s">
        <v>202</v>
      </c>
      <c r="M11" s="118">
        <v>46286</v>
      </c>
      <c r="N11" s="119"/>
      <c r="O11" s="116"/>
      <c r="P11" s="116"/>
      <c r="Q11" s="116"/>
      <c r="R11" s="116"/>
      <c r="S11" s="116"/>
      <c r="T11" s="116"/>
      <c r="U11" s="116"/>
      <c r="V11" s="120"/>
      <c r="W11" s="128"/>
      <c r="X11" s="42"/>
    </row>
    <row r="12" spans="1:33" s="18" customFormat="1" ht="46.5" customHeight="1" x14ac:dyDescent="0.25">
      <c r="A12" s="136" t="s">
        <v>203</v>
      </c>
      <c r="B12" s="113">
        <v>7829</v>
      </c>
      <c r="C12" s="114" t="b">
        <v>1</v>
      </c>
      <c r="D12" s="102" t="s">
        <v>204</v>
      </c>
      <c r="E12" s="115" t="s">
        <v>153</v>
      </c>
      <c r="F12" s="180" t="s">
        <v>153</v>
      </c>
      <c r="G12" s="180" t="s">
        <v>153</v>
      </c>
      <c r="H12" s="180" t="s">
        <v>153</v>
      </c>
      <c r="I12" s="180" t="s">
        <v>58</v>
      </c>
      <c r="J12" s="180" t="s">
        <v>153</v>
      </c>
      <c r="K12" s="116" t="s">
        <v>153</v>
      </c>
      <c r="L12" s="181" t="s">
        <v>202</v>
      </c>
      <c r="M12" s="118">
        <v>46284</v>
      </c>
      <c r="N12" s="119"/>
      <c r="O12" s="116"/>
      <c r="P12" s="116"/>
      <c r="Q12" s="116"/>
      <c r="R12" s="116"/>
      <c r="S12" s="116"/>
      <c r="T12" s="116"/>
      <c r="U12" s="116"/>
      <c r="V12" s="120"/>
      <c r="W12" s="128"/>
      <c r="X12" s="42"/>
    </row>
    <row r="13" spans="1:33" s="18" customFormat="1" ht="46.5" customHeight="1" x14ac:dyDescent="0.25">
      <c r="A13" s="136" t="s">
        <v>205</v>
      </c>
      <c r="B13" s="113">
        <v>7830</v>
      </c>
      <c r="C13" s="114" t="b">
        <v>0</v>
      </c>
      <c r="D13" s="102" t="s">
        <v>178</v>
      </c>
      <c r="E13" s="115" t="s">
        <v>153</v>
      </c>
      <c r="F13" s="116" t="s">
        <v>153</v>
      </c>
      <c r="G13" s="116" t="s">
        <v>153</v>
      </c>
      <c r="H13" s="116" t="s">
        <v>153</v>
      </c>
      <c r="I13" s="116" t="s">
        <v>153</v>
      </c>
      <c r="J13" s="116" t="s">
        <v>153</v>
      </c>
      <c r="K13" s="116" t="s">
        <v>153</v>
      </c>
      <c r="L13" s="117" t="s">
        <v>187</v>
      </c>
      <c r="M13" s="118">
        <v>46282</v>
      </c>
      <c r="N13" s="119" t="s">
        <v>183</v>
      </c>
      <c r="O13" s="116"/>
      <c r="P13" s="116"/>
      <c r="Q13" s="116"/>
      <c r="R13" s="116"/>
      <c r="S13" s="116"/>
      <c r="T13" s="116"/>
      <c r="U13" s="116"/>
      <c r="V13" s="120"/>
      <c r="W13" s="128"/>
      <c r="X13" s="42"/>
    </row>
    <row r="14" spans="1:33" s="18" customFormat="1" ht="46.5" customHeight="1" x14ac:dyDescent="0.25">
      <c r="A14" s="136" t="s">
        <v>206</v>
      </c>
      <c r="B14" s="113">
        <v>7831</v>
      </c>
      <c r="C14" s="114" t="b">
        <v>0</v>
      </c>
      <c r="D14" s="102" t="s">
        <v>207</v>
      </c>
      <c r="E14" s="115" t="s">
        <v>183</v>
      </c>
      <c r="F14" s="116" t="s">
        <v>153</v>
      </c>
      <c r="G14" s="116" t="s">
        <v>153</v>
      </c>
      <c r="H14" s="116" t="s">
        <v>153</v>
      </c>
      <c r="I14" s="116" t="s">
        <v>153</v>
      </c>
      <c r="J14" s="116" t="s">
        <v>153</v>
      </c>
      <c r="K14" s="116" t="s">
        <v>153</v>
      </c>
      <c r="L14" s="117" t="s">
        <v>182</v>
      </c>
      <c r="M14" s="118">
        <v>46286</v>
      </c>
      <c r="N14" s="119" t="s">
        <v>183</v>
      </c>
      <c r="O14" s="116"/>
      <c r="P14" s="116"/>
      <c r="Q14" s="116"/>
      <c r="R14" s="116"/>
      <c r="S14" s="116"/>
      <c r="T14" s="116"/>
      <c r="U14" s="116"/>
      <c r="V14" s="120"/>
      <c r="W14" s="128"/>
      <c r="X14" s="42"/>
    </row>
    <row r="15" spans="1:33" s="18" customFormat="1" ht="46.5" customHeight="1" x14ac:dyDescent="0.25">
      <c r="A15" s="136" t="s">
        <v>208</v>
      </c>
      <c r="B15" s="113">
        <v>7833</v>
      </c>
      <c r="C15" s="114" t="b">
        <v>0</v>
      </c>
      <c r="D15" s="102" t="s">
        <v>178</v>
      </c>
      <c r="E15" s="115" t="s">
        <v>153</v>
      </c>
      <c r="F15" s="116" t="s">
        <v>153</v>
      </c>
      <c r="G15" s="116" t="s">
        <v>153</v>
      </c>
      <c r="H15" s="116" t="s">
        <v>153</v>
      </c>
      <c r="I15" s="116" t="s">
        <v>153</v>
      </c>
      <c r="J15" s="116" t="s">
        <v>153</v>
      </c>
      <c r="K15" s="116" t="s">
        <v>153</v>
      </c>
      <c r="L15" s="117" t="s">
        <v>209</v>
      </c>
      <c r="M15" s="118">
        <v>46286</v>
      </c>
      <c r="N15" s="119"/>
      <c r="O15" s="116"/>
      <c r="P15" s="116"/>
      <c r="Q15" s="116"/>
      <c r="R15" s="116"/>
      <c r="S15" s="116"/>
      <c r="T15" s="116"/>
      <c r="U15" s="116"/>
      <c r="V15" s="120"/>
      <c r="W15" s="128"/>
      <c r="X15" s="42"/>
    </row>
    <row r="16" spans="1:33" s="18" customFormat="1" ht="46.5" customHeight="1" x14ac:dyDescent="0.25">
      <c r="A16" s="136" t="s">
        <v>210</v>
      </c>
      <c r="B16" s="113">
        <v>7839</v>
      </c>
      <c r="C16" s="114" t="b">
        <v>1</v>
      </c>
      <c r="D16" s="102" t="s">
        <v>178</v>
      </c>
      <c r="E16" s="115" t="s">
        <v>153</v>
      </c>
      <c r="F16" s="116" t="s">
        <v>153</v>
      </c>
      <c r="G16" s="116" t="s">
        <v>153</v>
      </c>
      <c r="H16" s="116" t="s">
        <v>153</v>
      </c>
      <c r="I16" s="116" t="s">
        <v>153</v>
      </c>
      <c r="J16" s="116" t="s">
        <v>153</v>
      </c>
      <c r="K16" s="116" t="s">
        <v>153</v>
      </c>
      <c r="L16" s="117" t="s">
        <v>211</v>
      </c>
      <c r="M16" s="118">
        <v>46284</v>
      </c>
      <c r="N16" s="119"/>
      <c r="O16" s="116"/>
      <c r="P16" s="116"/>
      <c r="Q16" s="116"/>
      <c r="R16" s="116"/>
      <c r="S16" s="116"/>
      <c r="T16" s="116"/>
      <c r="U16" s="116"/>
      <c r="V16" s="120"/>
      <c r="W16" s="128"/>
      <c r="X16" s="42"/>
    </row>
    <row r="17" spans="1:23" ht="23.25" x14ac:dyDescent="0.35">
      <c r="A17" s="54"/>
      <c r="B17" s="172" t="s">
        <v>269</v>
      </c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88"/>
      <c r="W17" s="188"/>
    </row>
    <row r="18" spans="1:23" ht="23.25" x14ac:dyDescent="0.35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104"/>
      <c r="N18" s="56"/>
      <c r="O18" s="56"/>
      <c r="P18" s="56"/>
      <c r="Q18" s="56"/>
      <c r="R18" s="56"/>
      <c r="S18" s="56"/>
      <c r="T18" s="56"/>
      <c r="U18" s="56"/>
      <c r="V18" s="56"/>
      <c r="W18" s="56"/>
    </row>
    <row r="19" spans="1:23" x14ac:dyDescent="0.35">
      <c r="L19" s="184" t="s">
        <v>213</v>
      </c>
      <c r="M19" s="184"/>
      <c r="V19" s="24"/>
      <c r="W19" s="35"/>
    </row>
    <row r="20" spans="1:23" x14ac:dyDescent="0.35">
      <c r="L20" s="184"/>
      <c r="M20" s="184"/>
      <c r="V20" s="24"/>
    </row>
    <row r="22" spans="1:23" x14ac:dyDescent="0.35">
      <c r="A22" s="19" t="s">
        <v>41</v>
      </c>
      <c r="E22" s="26" t="s">
        <v>186</v>
      </c>
      <c r="L22" s="139"/>
    </row>
    <row r="23" spans="1:23" x14ac:dyDescent="0.35">
      <c r="E23" s="26" t="s">
        <v>214</v>
      </c>
    </row>
    <row r="25" spans="1:23" x14ac:dyDescent="0.35">
      <c r="I25" s="28" t="s">
        <v>215</v>
      </c>
    </row>
    <row r="28" spans="1:23" x14ac:dyDescent="0.35">
      <c r="W28" s="36" t="s">
        <v>41</v>
      </c>
    </row>
  </sheetData>
  <mergeCells count="5">
    <mergeCell ref="L19:M20"/>
    <mergeCell ref="F1:L1"/>
    <mergeCell ref="A1:E1"/>
    <mergeCell ref="M1:W1"/>
    <mergeCell ref="C17:W17"/>
  </mergeCells>
  <phoneticPr fontId="4" type="noConversion"/>
  <conditionalFormatting sqref="D21:U30 E19:L19 A17:C19 A21:C31 B20:K20 O3:V16 B3:K16">
    <cfRule type="containsText" dxfId="13" priority="12" operator="containsText" text="YES">
      <formula>NOT(ISERROR(SEARCH("YES",A3)))</formula>
    </cfRule>
  </conditionalFormatting>
  <conditionalFormatting sqref="F19:F1048576 E2 E3:K16">
    <cfRule type="containsText" dxfId="12" priority="123" operator="containsText" text="N">
      <formula>NOT(ISERROR(SEARCH("N",E2)))</formula>
    </cfRule>
  </conditionalFormatting>
  <conditionalFormatting sqref="E3:K16">
    <cfRule type="containsText" dxfId="11" priority="13" operator="containsText" text="Y">
      <formula>NOT(ISERROR(SEARCH("Y",E3)))</formula>
    </cfRule>
  </conditionalFormatting>
  <conditionalFormatting sqref="F19:F30">
    <cfRule type="containsText" dxfId="10" priority="125" operator="containsText" text="Y">
      <formula>NOT(ISERROR(SEARCH("Y",F19)))</formula>
    </cfRule>
  </conditionalFormatting>
  <conditionalFormatting sqref="N19:U20 V21:V33">
    <cfRule type="containsText" dxfId="9" priority="124" operator="containsText" text="YES">
      <formula>NOT(ISERROR(SEARCH("YES",N19)))</formula>
    </cfRule>
  </conditionalFormatting>
  <conditionalFormatting sqref="M19:M21 M3:M16">
    <cfRule type="timePeriod" dxfId="8" priority="47" timePeriod="tomorrow">
      <formula>FLOOR(M3,1)=TODAY()+1</formula>
    </cfRule>
    <cfRule type="timePeriod" dxfId="7" priority="86" timePeriod="yesterday">
      <formula>FLOOR(M3,1)=TODAY()-1</formula>
    </cfRule>
    <cfRule type="timePeriod" dxfId="6" priority="91" timePeriod="today">
      <formula>FLOOR(M3,1)=TODAY()</formula>
    </cfRule>
  </conditionalFormatting>
  <conditionalFormatting sqref="M21:M1048576 U2:V16">
    <cfRule type="containsText" dxfId="5" priority="92" operator="containsText" text="NO">
      <formula>NOT(ISERROR(SEARCH("NO",M2)))</formula>
    </cfRule>
  </conditionalFormatting>
  <conditionalFormatting sqref="N19:O1048576">
    <cfRule type="timePeriod" dxfId="4" priority="88" timePeriod="tomorrow">
      <formula>FLOOR(N19,1)=TODAY()+1</formula>
    </cfRule>
    <cfRule type="timePeriod" dxfId="3" priority="89" timePeriod="today">
      <formula>FLOOR(N19,1)=TODAY()</formula>
    </cfRule>
  </conditionalFormatting>
  <hyperlinks>
    <hyperlink ref="L19:M20" r:id="rId1" display="PEER 2 PEER FORM" xr:uid="{98B61BC7-B9EB-4F20-BCE9-2EAF2F991115}"/>
  </hyperlinks>
  <printOptions horizontalCentered="1" verticalCentered="1"/>
  <pageMargins left="0.25" right="0.25" top="0.75" bottom="0.75" header="0.3" footer="0.3"/>
  <pageSetup scale="36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8E9DFBBC-C1BC-46CC-821A-854426DE5F97}">
            <xm:f>NOT(ISERROR(SEARCH("NO",K2)))</xm:f>
            <xm:f>"NO"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L19 L21:L1048576 K2:K16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AB04A-5945-4E1C-9AD4-4BD690AE5B28}">
          <x14:formula1>
            <xm:f>#REF!</xm:f>
          </x14:formula1>
          <xm:sqref>E3:K16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156A-D580-4818-B2CD-513DEAB939DD}">
  <sheetPr codeName="Sheet18">
    <tabColor rgb="FFFFC000"/>
    <pageSetUpPr fitToPage="1"/>
  </sheetPr>
  <dimension ref="A1:Z44"/>
  <sheetViews>
    <sheetView topLeftCell="B1" zoomScale="80" zoomScaleNormal="80" workbookViewId="0">
      <selection activeCell="B4" sqref="B4:Z13"/>
    </sheetView>
  </sheetViews>
  <sheetFormatPr defaultColWidth="9.140625" defaultRowHeight="15" x14ac:dyDescent="0.25"/>
  <cols>
    <col min="1" max="1" width="10.5703125" style="1" hidden="1" customWidth="1"/>
    <col min="2" max="2" width="19.5703125" style="1" customWidth="1"/>
    <col min="3" max="3" width="13.42578125" style="1" customWidth="1"/>
    <col min="4" max="4" width="73.42578125" style="39" customWidth="1"/>
    <col min="5" max="5" width="35.7109375" style="1" customWidth="1"/>
    <col min="6" max="6" width="15.5703125" style="1" hidden="1" customWidth="1"/>
    <col min="7" max="7" width="34.42578125" style="48" customWidth="1"/>
    <col min="8" max="8" width="24.5703125" style="1" customWidth="1"/>
    <col min="9" max="9" width="34.85546875" style="1" customWidth="1"/>
    <col min="10" max="10" width="10.140625" style="1" customWidth="1"/>
    <col min="11" max="14" width="0" style="1" hidden="1" customWidth="1"/>
    <col min="15" max="24" width="9.140625" style="1"/>
    <col min="25" max="26" width="0" style="1" hidden="1" customWidth="1"/>
    <col min="27" max="16384" width="9.140625" style="1"/>
  </cols>
  <sheetData>
    <row r="1" spans="1:26" ht="31.5" customHeight="1" x14ac:dyDescent="0.25">
      <c r="A1" s="368" t="s">
        <v>216</v>
      </c>
      <c r="B1" s="369"/>
      <c r="C1" s="369"/>
      <c r="D1" s="369"/>
      <c r="E1" s="369"/>
      <c r="F1" s="369"/>
      <c r="G1" s="370"/>
      <c r="H1" s="369"/>
      <c r="I1" s="369"/>
      <c r="J1" s="371"/>
    </row>
    <row r="2" spans="1:26" x14ac:dyDescent="0.25">
      <c r="A2" s="372" t="s">
        <v>84</v>
      </c>
      <c r="B2" s="373"/>
      <c r="C2" s="43">
        <f ca="1">NOW()</f>
        <v>46281.084183217594</v>
      </c>
      <c r="D2" s="374" t="s">
        <v>217</v>
      </c>
      <c r="E2" s="375"/>
      <c r="F2" s="375"/>
      <c r="G2" s="376"/>
      <c r="H2" s="375"/>
      <c r="I2" s="375"/>
      <c r="J2" s="375"/>
    </row>
    <row r="3" spans="1:26" x14ac:dyDescent="0.25">
      <c r="A3" s="377" t="s">
        <v>86</v>
      </c>
      <c r="B3" s="378"/>
      <c r="C3" s="378"/>
      <c r="D3" s="379"/>
      <c r="E3" s="378"/>
      <c r="F3" s="378"/>
      <c r="G3" s="380"/>
      <c r="H3" s="378"/>
      <c r="I3" s="378"/>
      <c r="J3" s="378"/>
    </row>
    <row r="4" spans="1:26" s="39" customFormat="1" ht="40.5" customHeight="1" x14ac:dyDescent="0.25">
      <c r="A4" s="39" t="s">
        <v>80</v>
      </c>
      <c r="B4" s="39" t="s">
        <v>80</v>
      </c>
      <c r="C4" s="39" t="s">
        <v>1</v>
      </c>
      <c r="D4" s="39" t="s">
        <v>218</v>
      </c>
      <c r="E4" t="s">
        <v>2</v>
      </c>
      <c r="F4" s="39" t="s">
        <v>219</v>
      </c>
      <c r="G4" s="39" t="s">
        <v>220</v>
      </c>
      <c r="H4" s="47" t="s">
        <v>221</v>
      </c>
      <c r="I4" s="39" t="s">
        <v>222</v>
      </c>
      <c r="J4" s="39" t="s">
        <v>0</v>
      </c>
      <c r="K4" s="39" t="s">
        <v>223</v>
      </c>
      <c r="L4" s="39" t="s">
        <v>224</v>
      </c>
      <c r="M4" s="39" t="s">
        <v>225</v>
      </c>
      <c r="N4" s="39" t="s">
        <v>226</v>
      </c>
      <c r="O4" t="s">
        <v>102</v>
      </c>
      <c r="P4" t="s">
        <v>103</v>
      </c>
      <c r="Q4" t="s">
        <v>104</v>
      </c>
      <c r="R4" t="s">
        <v>105</v>
      </c>
      <c r="S4" t="s">
        <v>106</v>
      </c>
      <c r="T4" t="s">
        <v>107</v>
      </c>
      <c r="U4" t="s">
        <v>108</v>
      </c>
      <c r="V4" t="s">
        <v>109</v>
      </c>
      <c r="W4" t="s">
        <v>110</v>
      </c>
      <c r="X4" t="s">
        <v>111</v>
      </c>
      <c r="Y4" s="39" t="s">
        <v>227</v>
      </c>
      <c r="Z4" s="39" t="s">
        <v>228</v>
      </c>
    </row>
    <row r="5" spans="1:26" ht="15" customHeight="1" x14ac:dyDescent="0.25">
      <c r="A5" s="1">
        <v>511606212</v>
      </c>
      <c r="B5" s="1">
        <v>502506323</v>
      </c>
      <c r="C5" s="1">
        <v>7806</v>
      </c>
      <c r="D5" s="1"/>
      <c r="E5" t="s">
        <v>229</v>
      </c>
      <c r="F5" s="1">
        <v>46280</v>
      </c>
      <c r="G5" s="1" t="s">
        <v>230</v>
      </c>
      <c r="H5" s="40" t="s">
        <v>231</v>
      </c>
      <c r="I5" s="1" t="s">
        <v>116</v>
      </c>
      <c r="K5" s="1" t="b">
        <v>0</v>
      </c>
      <c r="M5" s="1" t="b">
        <v>0</v>
      </c>
      <c r="N5" s="1" t="s">
        <v>116</v>
      </c>
      <c r="O5"/>
      <c r="P5">
        <v>2</v>
      </c>
      <c r="Q5" t="s">
        <v>232</v>
      </c>
      <c r="R5" t="s">
        <v>233</v>
      </c>
      <c r="S5" t="s">
        <v>234</v>
      </c>
      <c r="T5" t="s">
        <v>235</v>
      </c>
      <c r="U5" t="s">
        <v>124</v>
      </c>
      <c r="V5" t="s">
        <v>236</v>
      </c>
      <c r="W5" t="s">
        <v>237</v>
      </c>
      <c r="X5" t="s">
        <v>238</v>
      </c>
    </row>
    <row r="6" spans="1:26" ht="45" customHeight="1" x14ac:dyDescent="0.25">
      <c r="A6" s="1">
        <v>9879684</v>
      </c>
      <c r="B6" s="1">
        <v>512474947</v>
      </c>
      <c r="C6" s="1">
        <v>7807</v>
      </c>
      <c r="D6" s="1"/>
      <c r="E6" t="s">
        <v>112</v>
      </c>
      <c r="F6" s="1">
        <v>46280</v>
      </c>
      <c r="G6" s="1" t="s">
        <v>239</v>
      </c>
      <c r="H6" s="40" t="s">
        <v>240</v>
      </c>
      <c r="I6" s="1" t="s">
        <v>241</v>
      </c>
      <c r="K6" s="1" t="b">
        <v>0</v>
      </c>
      <c r="M6" s="1" t="b">
        <v>0</v>
      </c>
      <c r="N6" s="1" t="s">
        <v>242</v>
      </c>
      <c r="O6"/>
      <c r="P6">
        <v>26</v>
      </c>
      <c r="Q6" t="s">
        <v>121</v>
      </c>
      <c r="R6" t="s">
        <v>116</v>
      </c>
      <c r="S6" t="s">
        <v>122</v>
      </c>
      <c r="T6" t="s">
        <v>123</v>
      </c>
      <c r="U6" t="s">
        <v>124</v>
      </c>
      <c r="V6" t="s">
        <v>125</v>
      </c>
      <c r="W6" t="s">
        <v>126</v>
      </c>
      <c r="X6" t="s">
        <v>127</v>
      </c>
    </row>
    <row r="7" spans="1:26" ht="44.25" customHeight="1" x14ac:dyDescent="0.25">
      <c r="A7" s="1">
        <v>501907878</v>
      </c>
      <c r="B7" s="1">
        <v>13291253</v>
      </c>
      <c r="C7" s="1">
        <v>7818</v>
      </c>
      <c r="D7" s="1"/>
      <c r="E7" t="s">
        <v>243</v>
      </c>
      <c r="F7" s="1">
        <v>46280</v>
      </c>
      <c r="G7" s="1" t="s">
        <v>244</v>
      </c>
      <c r="H7" s="40" t="s">
        <v>231</v>
      </c>
      <c r="I7" s="1" t="s">
        <v>116</v>
      </c>
      <c r="K7" s="1" t="b">
        <v>0</v>
      </c>
      <c r="M7" s="1" t="b">
        <v>0</v>
      </c>
      <c r="N7" s="1" t="s">
        <v>245</v>
      </c>
      <c r="O7"/>
      <c r="P7">
        <v>4</v>
      </c>
      <c r="Q7" t="s">
        <v>246</v>
      </c>
      <c r="R7" t="s">
        <v>116</v>
      </c>
      <c r="S7" t="s">
        <v>234</v>
      </c>
      <c r="T7" t="s">
        <v>247</v>
      </c>
      <c r="U7" t="s">
        <v>248</v>
      </c>
      <c r="V7" t="s">
        <v>116</v>
      </c>
      <c r="W7" t="s">
        <v>249</v>
      </c>
      <c r="X7" t="s">
        <v>250</v>
      </c>
    </row>
    <row r="8" spans="1:26" ht="45" customHeight="1" x14ac:dyDescent="0.25">
      <c r="B8" s="1">
        <v>511682942</v>
      </c>
      <c r="C8" s="1">
        <v>7822</v>
      </c>
      <c r="D8" s="1"/>
      <c r="E8" t="s">
        <v>139</v>
      </c>
      <c r="F8" s="1">
        <v>46280</v>
      </c>
      <c r="G8" s="1" t="s">
        <v>251</v>
      </c>
      <c r="H8" s="40" t="s">
        <v>252</v>
      </c>
      <c r="I8" s="1" t="s">
        <v>116</v>
      </c>
      <c r="K8" s="1" t="b">
        <v>0</v>
      </c>
      <c r="M8" s="1" t="b">
        <v>0</v>
      </c>
      <c r="N8" s="1" t="s">
        <v>116</v>
      </c>
      <c r="O8"/>
      <c r="P8">
        <v>3</v>
      </c>
      <c r="Q8" t="s">
        <v>147</v>
      </c>
      <c r="R8" t="s">
        <v>116</v>
      </c>
      <c r="S8" t="s">
        <v>148</v>
      </c>
      <c r="T8" t="s">
        <v>149</v>
      </c>
      <c r="U8" t="s">
        <v>124</v>
      </c>
      <c r="V8" t="s">
        <v>150</v>
      </c>
      <c r="W8" t="s">
        <v>151</v>
      </c>
      <c r="X8" t="s">
        <v>152</v>
      </c>
    </row>
    <row r="9" spans="1:26" ht="62.25" customHeight="1" x14ac:dyDescent="0.25">
      <c r="A9" s="1">
        <v>34686167</v>
      </c>
      <c r="B9" s="1">
        <v>40179981</v>
      </c>
      <c r="C9" s="1">
        <v>7823</v>
      </c>
      <c r="D9" s="1"/>
      <c r="E9" t="s">
        <v>253</v>
      </c>
      <c r="F9" s="1">
        <v>46280</v>
      </c>
      <c r="G9" s="1" t="s">
        <v>254</v>
      </c>
      <c r="H9" s="40" t="s">
        <v>240</v>
      </c>
      <c r="I9" s="1" t="s">
        <v>116</v>
      </c>
      <c r="K9" s="1" t="b">
        <v>0</v>
      </c>
      <c r="M9" s="1" t="b">
        <v>0</v>
      </c>
      <c r="N9" s="1" t="s">
        <v>255</v>
      </c>
      <c r="O9"/>
      <c r="P9">
        <v>26</v>
      </c>
      <c r="Q9" t="s">
        <v>256</v>
      </c>
      <c r="R9" t="s">
        <v>257</v>
      </c>
      <c r="S9" t="s">
        <v>258</v>
      </c>
      <c r="T9" t="s">
        <v>259</v>
      </c>
      <c r="U9" t="s">
        <v>260</v>
      </c>
      <c r="V9" t="s">
        <v>261</v>
      </c>
      <c r="W9" t="s">
        <v>262</v>
      </c>
      <c r="X9" t="s">
        <v>263</v>
      </c>
    </row>
    <row r="10" spans="1:26" ht="54" customHeight="1" x14ac:dyDescent="0.25">
      <c r="B10" s="1">
        <v>502212785</v>
      </c>
      <c r="C10" s="1">
        <v>7831</v>
      </c>
      <c r="D10" s="1"/>
      <c r="E10" t="s">
        <v>264</v>
      </c>
      <c r="F10" s="1">
        <v>46280</v>
      </c>
      <c r="G10" s="1" t="s">
        <v>265</v>
      </c>
      <c r="H10" s="40" t="s">
        <v>266</v>
      </c>
      <c r="I10" s="1" t="s">
        <v>267</v>
      </c>
      <c r="K10" s="1" t="b">
        <v>0</v>
      </c>
      <c r="M10" s="1" t="b">
        <v>0</v>
      </c>
      <c r="N10" s="1" t="s">
        <v>242</v>
      </c>
      <c r="O10"/>
      <c r="P10">
        <v>3</v>
      </c>
      <c r="Q10" t="s">
        <v>268</v>
      </c>
      <c r="R10" t="s">
        <v>116</v>
      </c>
      <c r="S10" t="s">
        <v>269</v>
      </c>
      <c r="T10" t="s">
        <v>123</v>
      </c>
      <c r="U10" t="s">
        <v>270</v>
      </c>
      <c r="V10" t="s">
        <v>271</v>
      </c>
      <c r="W10" t="s">
        <v>151</v>
      </c>
      <c r="X10" t="s">
        <v>272</v>
      </c>
    </row>
    <row r="11" spans="1:26" ht="40.5" customHeight="1" x14ac:dyDescent="0.25">
      <c r="A11" s="1">
        <v>16827804</v>
      </c>
      <c r="B11" s="1">
        <v>9878684</v>
      </c>
      <c r="C11" s="1">
        <v>7834</v>
      </c>
      <c r="D11" s="1"/>
      <c r="E11" t="s">
        <v>273</v>
      </c>
      <c r="F11" s="1">
        <v>46280</v>
      </c>
      <c r="G11" s="1" t="s">
        <v>274</v>
      </c>
      <c r="H11" s="40" t="s">
        <v>275</v>
      </c>
      <c r="I11" s="1" t="s">
        <v>116</v>
      </c>
      <c r="K11" s="1" t="b">
        <v>0</v>
      </c>
      <c r="M11" s="1" t="b">
        <v>0</v>
      </c>
      <c r="N11" s="1" t="s">
        <v>276</v>
      </c>
      <c r="O11"/>
      <c r="P11">
        <v>4</v>
      </c>
      <c r="Q11" t="s">
        <v>277</v>
      </c>
      <c r="R11" t="s">
        <v>278</v>
      </c>
      <c r="S11" t="s">
        <v>279</v>
      </c>
      <c r="T11" t="s">
        <v>280</v>
      </c>
      <c r="U11" t="s">
        <v>281</v>
      </c>
      <c r="V11" t="s">
        <v>282</v>
      </c>
      <c r="W11" t="s">
        <v>283</v>
      </c>
      <c r="X11" t="s">
        <v>284</v>
      </c>
    </row>
    <row r="12" spans="1:26" ht="44.25" customHeight="1" x14ac:dyDescent="0.25">
      <c r="A12" s="1">
        <v>7358303</v>
      </c>
      <c r="B12" s="1">
        <v>13267389</v>
      </c>
      <c r="C12" s="1">
        <v>7836</v>
      </c>
      <c r="D12" s="1"/>
      <c r="E12" t="s">
        <v>285</v>
      </c>
      <c r="F12" s="1">
        <v>46280</v>
      </c>
      <c r="G12" s="1" t="s">
        <v>286</v>
      </c>
      <c r="H12" s="40" t="s">
        <v>240</v>
      </c>
      <c r="I12" s="1" t="s">
        <v>116</v>
      </c>
      <c r="K12" s="1" t="b">
        <v>0</v>
      </c>
      <c r="M12" s="1" t="b">
        <v>0</v>
      </c>
      <c r="N12" s="1" t="s">
        <v>116</v>
      </c>
      <c r="O12"/>
      <c r="P12">
        <v>8</v>
      </c>
      <c r="Q12" t="s">
        <v>287</v>
      </c>
      <c r="R12" t="s">
        <v>116</v>
      </c>
      <c r="S12" t="s">
        <v>288</v>
      </c>
      <c r="T12" t="s">
        <v>247</v>
      </c>
      <c r="U12" t="s">
        <v>289</v>
      </c>
      <c r="V12" t="s">
        <v>290</v>
      </c>
      <c r="W12" t="s">
        <v>126</v>
      </c>
      <c r="X12" t="s">
        <v>291</v>
      </c>
    </row>
    <row r="13" spans="1:26" ht="36.75" customHeight="1" x14ac:dyDescent="0.25">
      <c r="B13" s="1">
        <v>13322862</v>
      </c>
      <c r="C13" s="1">
        <v>7837</v>
      </c>
      <c r="D13" s="1"/>
      <c r="E13" t="s">
        <v>292</v>
      </c>
      <c r="F13" s="1">
        <v>46280</v>
      </c>
      <c r="G13" s="1" t="s">
        <v>293</v>
      </c>
      <c r="H13" s="40" t="s">
        <v>266</v>
      </c>
      <c r="I13" s="1" t="s">
        <v>116</v>
      </c>
      <c r="K13" s="1" t="b">
        <v>0</v>
      </c>
      <c r="M13" s="1" t="b">
        <v>0</v>
      </c>
      <c r="N13" s="1" t="s">
        <v>294</v>
      </c>
      <c r="O13"/>
      <c r="P13">
        <v>3</v>
      </c>
      <c r="Q13" t="s">
        <v>295</v>
      </c>
      <c r="R13" t="s">
        <v>116</v>
      </c>
      <c r="S13" t="s">
        <v>212</v>
      </c>
      <c r="T13" t="s">
        <v>123</v>
      </c>
      <c r="U13" t="s">
        <v>296</v>
      </c>
      <c r="V13" t="s">
        <v>271</v>
      </c>
      <c r="W13" t="s">
        <v>297</v>
      </c>
      <c r="X13" t="s">
        <v>152</v>
      </c>
    </row>
    <row r="14" spans="1:26" ht="40.5" customHeight="1" x14ac:dyDescent="0.25">
      <c r="A14" s="1">
        <v>7364117</v>
      </c>
    </row>
    <row r="15" spans="1:26" ht="44.25" customHeight="1" x14ac:dyDescent="0.25">
      <c r="A15" s="1">
        <v>511578093</v>
      </c>
    </row>
    <row r="16" spans="1:26" ht="45" customHeight="1" x14ac:dyDescent="0.25">
      <c r="A16" s="1">
        <v>501079011</v>
      </c>
    </row>
    <row r="17" spans="1:1" ht="45" customHeight="1" x14ac:dyDescent="0.25">
      <c r="A17" s="1">
        <v>15410528</v>
      </c>
    </row>
    <row r="18" spans="1:1" ht="24" customHeight="1" x14ac:dyDescent="0.25"/>
    <row r="19" spans="1:1" ht="30" customHeight="1" x14ac:dyDescent="0.25">
      <c r="A19" s="1">
        <v>7194967</v>
      </c>
    </row>
    <row r="20" spans="1:1" ht="14.45" customHeight="1" x14ac:dyDescent="0.25">
      <c r="A20" s="1">
        <v>13964576</v>
      </c>
    </row>
    <row r="21" spans="1:1" ht="30" customHeight="1" x14ac:dyDescent="0.25">
      <c r="A21" s="1">
        <v>512217468</v>
      </c>
    </row>
    <row r="22" spans="1:1" ht="30" customHeight="1" x14ac:dyDescent="0.25">
      <c r="A22" s="1">
        <v>17428316</v>
      </c>
    </row>
    <row r="23" spans="1:1" ht="14.45" customHeight="1" x14ac:dyDescent="0.25">
      <c r="A23" s="1">
        <v>17167763</v>
      </c>
    </row>
    <row r="24" spans="1:1" ht="30" customHeight="1" x14ac:dyDescent="0.25">
      <c r="A24" s="1">
        <v>501706016</v>
      </c>
    </row>
    <row r="25" spans="1:1" ht="30" customHeight="1" x14ac:dyDescent="0.25">
      <c r="A25" s="1">
        <v>512083225</v>
      </c>
    </row>
    <row r="26" spans="1:1" ht="14.45" customHeight="1" x14ac:dyDescent="0.25"/>
    <row r="27" spans="1:1" ht="30" customHeight="1" x14ac:dyDescent="0.25">
      <c r="A27" s="1">
        <v>20714616</v>
      </c>
    </row>
    <row r="28" spans="1:1" ht="14.45" customHeight="1" x14ac:dyDescent="0.25">
      <c r="A28" s="1">
        <v>22584721</v>
      </c>
    </row>
    <row r="29" spans="1:1" ht="24.75" customHeight="1" x14ac:dyDescent="0.25"/>
    <row r="30" spans="1:1" ht="24.75" customHeight="1" x14ac:dyDescent="0.25">
      <c r="A30" s="1">
        <v>502544070</v>
      </c>
    </row>
    <row r="31" spans="1:1" ht="30" customHeight="1" x14ac:dyDescent="0.25">
      <c r="A31" s="1">
        <v>15185107</v>
      </c>
    </row>
    <row r="32" spans="1:1" ht="14.45" customHeight="1" x14ac:dyDescent="0.25">
      <c r="A32" s="1">
        <v>15195520</v>
      </c>
    </row>
    <row r="33" spans="1:1" ht="14.45" customHeight="1" x14ac:dyDescent="0.25">
      <c r="A33" s="1">
        <v>17472522</v>
      </c>
    </row>
    <row r="34" spans="1:1" ht="14.45" customHeight="1" x14ac:dyDescent="0.25"/>
    <row r="35" spans="1:1" ht="30" customHeight="1" x14ac:dyDescent="0.25">
      <c r="A35" s="1">
        <v>37686136</v>
      </c>
    </row>
    <row r="36" spans="1:1" ht="60" customHeight="1" x14ac:dyDescent="0.25"/>
    <row r="37" spans="1:1" ht="57" customHeight="1" x14ac:dyDescent="0.25">
      <c r="A37" s="1">
        <v>14959796</v>
      </c>
    </row>
    <row r="38" spans="1:1" ht="30" customHeight="1" x14ac:dyDescent="0.25">
      <c r="A38" s="1">
        <v>22670409</v>
      </c>
    </row>
    <row r="39" spans="1:1" ht="60" customHeight="1" x14ac:dyDescent="0.25">
      <c r="A39" s="1">
        <v>14055870</v>
      </c>
    </row>
    <row r="40" spans="1:1" ht="60" customHeight="1" x14ac:dyDescent="0.25">
      <c r="A40" s="1">
        <v>510482075</v>
      </c>
    </row>
    <row r="41" spans="1:1" ht="30" customHeight="1" x14ac:dyDescent="0.25">
      <c r="A41" s="1">
        <v>8532101</v>
      </c>
    </row>
    <row r="42" spans="1:1" ht="45" customHeight="1" x14ac:dyDescent="0.25">
      <c r="A42" s="1">
        <v>14970887</v>
      </c>
    </row>
    <row r="43" spans="1:1" ht="90" customHeight="1" x14ac:dyDescent="0.25"/>
    <row r="44" spans="1:1" ht="30" customHeight="1" x14ac:dyDescent="0.25"/>
  </sheetData>
  <mergeCells count="4">
    <mergeCell ref="A1:J1"/>
    <mergeCell ref="A2:B2"/>
    <mergeCell ref="D2:J2"/>
    <mergeCell ref="A3:J3"/>
  </mergeCells>
  <phoneticPr fontId="4" type="noConversion"/>
  <hyperlinks>
    <hyperlink ref="A3" r:id="rId1" display="https://ahsonline.sharepoint.com/teams/GT7Charge/Lists/GT7%20SURGIFLOW/AllItems.aspx?viewid=f80a9967%2D7136%2D4b61%2D9fd2%2D29e89b77f7c8&amp;env=WebViewList" xr:uid="{7B991617-E75C-45B5-819A-2A0C84C7B5EF}"/>
  </hyperlinks>
  <pageMargins left="0.25" right="0.25" top="0.75" bottom="0.75" header="0.3" footer="0.3"/>
  <pageSetup scale="54" orientation="landscape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C2813-4B9B-4FD4-B16F-2D3AE798E25C}">
  <sheetPr codeName="Sheet10"/>
  <dimension ref="A1:AE46"/>
  <sheetViews>
    <sheetView tabSelected="1" zoomScale="80" zoomScaleNormal="70" workbookViewId="0">
      <selection activeCell="A4" sqref="A1:A1048576"/>
    </sheetView>
  </sheetViews>
  <sheetFormatPr defaultColWidth="8.85546875" defaultRowHeight="15" x14ac:dyDescent="0.25"/>
  <cols>
    <col min="1" max="1" width="22.28515625" style="2" bestFit="1" customWidth="1"/>
    <col min="2" max="2" width="17.42578125" style="2" customWidth="1"/>
    <col min="3" max="3" width="109.42578125" style="2" customWidth="1"/>
    <col min="4" max="4" width="70.5703125" style="2" bestFit="1" customWidth="1"/>
    <col min="5" max="5" width="29.7109375" style="2" customWidth="1"/>
    <col min="6" max="6" width="41.85546875" style="2" bestFit="1" customWidth="1"/>
    <col min="7" max="7" width="22.5703125" style="2" customWidth="1"/>
    <col min="8" max="8" width="15.5703125" style="2" bestFit="1" customWidth="1"/>
    <col min="9" max="9" width="11.5703125" style="2" bestFit="1" customWidth="1"/>
    <col min="10" max="10" width="15.85546875" style="2" customWidth="1"/>
    <col min="11" max="11" width="11.28515625" style="2" bestFit="1" customWidth="1"/>
    <col min="12" max="12" width="23.28515625" style="2" bestFit="1" customWidth="1"/>
    <col min="13" max="13" width="26" style="2" bestFit="1" customWidth="1"/>
    <col min="14" max="14" width="12.140625" style="2" bestFit="1" customWidth="1"/>
    <col min="15" max="15" width="7.140625" style="2" bestFit="1" customWidth="1"/>
    <col min="16" max="16" width="9" style="2" bestFit="1" customWidth="1"/>
    <col min="17" max="26" width="9" style="2" customWidth="1"/>
    <col min="27" max="27" width="12.5703125" style="2" bestFit="1" customWidth="1"/>
    <col min="28" max="28" width="14" style="2" bestFit="1" customWidth="1"/>
    <col min="29" max="29" width="19.85546875" style="2" bestFit="1" customWidth="1"/>
    <col min="30" max="30" width="11.140625" style="2" bestFit="1" customWidth="1"/>
    <col min="31" max="31" width="11" style="2" bestFit="1" customWidth="1"/>
    <col min="32" max="32" width="17.42578125" style="2" bestFit="1" customWidth="1"/>
    <col min="33" max="33" width="9.28515625" style="2" bestFit="1" customWidth="1"/>
    <col min="34" max="34" width="10.140625" style="2" bestFit="1" customWidth="1"/>
    <col min="35" max="35" width="6.28515625" style="2" bestFit="1" customWidth="1"/>
    <col min="36" max="36" width="21.42578125" style="2" bestFit="1" customWidth="1"/>
    <col min="37" max="37" width="21.140625" style="2" bestFit="1" customWidth="1"/>
    <col min="38" max="38" width="21.7109375" style="2" bestFit="1" customWidth="1"/>
    <col min="39" max="39" width="11.28515625" style="2" bestFit="1" customWidth="1"/>
    <col min="40" max="40" width="11" style="2" bestFit="1" customWidth="1"/>
    <col min="41" max="41" width="22.5703125" style="2" bestFit="1" customWidth="1"/>
    <col min="42" max="42" width="19.85546875" style="2" bestFit="1" customWidth="1"/>
    <col min="43" max="43" width="10.28515625" style="2" bestFit="1" customWidth="1"/>
    <col min="44" max="44" width="12.42578125" style="2" bestFit="1" customWidth="1"/>
    <col min="45" max="45" width="9.5703125" style="2" bestFit="1" customWidth="1"/>
    <col min="46" max="46" width="4.85546875" style="2" bestFit="1" customWidth="1"/>
    <col min="47" max="47" width="10.28515625" style="2" bestFit="1" customWidth="1"/>
    <col min="48" max="48" width="16.5703125" style="2" bestFit="1" customWidth="1"/>
    <col min="49" max="49" width="6.5703125" style="2" bestFit="1" customWidth="1"/>
    <col min="50" max="50" width="11.85546875" style="2" bestFit="1" customWidth="1"/>
    <col min="51" max="51" width="13" style="2" bestFit="1" customWidth="1"/>
    <col min="52" max="52" width="28.42578125" style="2" bestFit="1" customWidth="1"/>
    <col min="53" max="53" width="19.140625" style="2" bestFit="1" customWidth="1"/>
    <col min="54" max="54" width="22.28515625" style="2" bestFit="1" customWidth="1"/>
    <col min="55" max="55" width="19.42578125" style="2" bestFit="1" customWidth="1"/>
    <col min="56" max="56" width="16.140625" style="2" bestFit="1" customWidth="1"/>
    <col min="57" max="57" width="16" style="2" bestFit="1" customWidth="1"/>
    <col min="58" max="58" width="10.140625" style="2" bestFit="1" customWidth="1"/>
    <col min="59" max="59" width="23.28515625" style="2" bestFit="1" customWidth="1"/>
    <col min="60" max="60" width="11.5703125" style="2" bestFit="1" customWidth="1"/>
    <col min="61" max="61" width="18.5703125" style="2" bestFit="1" customWidth="1"/>
    <col min="62" max="62" width="12.5703125" style="2" bestFit="1" customWidth="1"/>
    <col min="63" max="63" width="13" style="2" bestFit="1" customWidth="1"/>
    <col min="64" max="64" width="15.42578125" style="2" bestFit="1" customWidth="1"/>
    <col min="65" max="65" width="20.42578125" style="2" bestFit="1" customWidth="1"/>
    <col min="66" max="66" width="7.42578125" style="2" bestFit="1" customWidth="1"/>
    <col min="67" max="67" width="15.85546875" style="2" bestFit="1" customWidth="1"/>
    <col min="68" max="68" width="18.7109375" style="2" bestFit="1" customWidth="1"/>
    <col min="69" max="69" width="21.85546875" style="2" bestFit="1" customWidth="1"/>
    <col min="70" max="70" width="17.5703125" style="2" bestFit="1" customWidth="1"/>
    <col min="71" max="71" width="5.140625" style="2" bestFit="1" customWidth="1"/>
    <col min="72" max="72" width="15" style="2" bestFit="1" customWidth="1"/>
    <col min="73" max="74" width="15.85546875" style="2" bestFit="1" customWidth="1"/>
    <col min="75" max="75" width="12.85546875" style="2" bestFit="1" customWidth="1"/>
    <col min="76" max="76" width="14.140625" style="2" bestFit="1" customWidth="1"/>
    <col min="77" max="77" width="10.140625" style="2" bestFit="1" customWidth="1"/>
    <col min="78" max="78" width="14.5703125" style="2" bestFit="1" customWidth="1"/>
    <col min="79" max="79" width="6.7109375" style="2" bestFit="1" customWidth="1"/>
    <col min="80" max="80" width="7.5703125" style="2" bestFit="1" customWidth="1"/>
    <col min="81" max="81" width="18.28515625" style="2" bestFit="1" customWidth="1"/>
    <col min="82" max="82" width="20" style="2" bestFit="1" customWidth="1"/>
    <col min="83" max="83" width="14.5703125" style="2" bestFit="1" customWidth="1"/>
    <col min="84" max="84" width="17.140625" style="2" bestFit="1" customWidth="1"/>
    <col min="85" max="85" width="24.85546875" style="2" bestFit="1" customWidth="1"/>
    <col min="86" max="86" width="17.85546875" style="2" bestFit="1" customWidth="1"/>
    <col min="87" max="87" width="17.42578125" style="2" bestFit="1" customWidth="1"/>
    <col min="88" max="89" width="24.140625" style="2" bestFit="1" customWidth="1"/>
    <col min="90" max="16384" width="8.85546875" style="2"/>
  </cols>
  <sheetData>
    <row r="1" spans="1:31" ht="51.75" customHeight="1" x14ac:dyDescent="0.25">
      <c r="A1" s="361"/>
      <c r="B1" s="361"/>
      <c r="C1" s="361"/>
      <c r="D1" s="361"/>
      <c r="E1" s="361"/>
      <c r="F1" s="361"/>
      <c r="G1" s="361"/>
      <c r="H1" s="361"/>
      <c r="I1" s="362"/>
      <c r="J1" s="160"/>
    </row>
    <row r="2" spans="1:31" x14ac:dyDescent="0.25">
      <c r="A2" s="183"/>
      <c r="B2" s="38">
        <f ca="1">NOW()</f>
        <v>46281.084183217594</v>
      </c>
      <c r="C2" s="381" t="s">
        <v>217</v>
      </c>
      <c r="D2" s="382"/>
      <c r="E2" s="382"/>
      <c r="F2" s="382"/>
      <c r="G2" s="382"/>
      <c r="H2" s="382"/>
      <c r="I2" s="383"/>
      <c r="J2" s="161"/>
    </row>
    <row r="3" spans="1:31" x14ac:dyDescent="0.25">
      <c r="A3" s="384"/>
      <c r="B3" s="384"/>
      <c r="C3" s="384"/>
      <c r="D3" s="384"/>
      <c r="E3" s="384"/>
      <c r="F3" s="384"/>
      <c r="G3" s="384"/>
      <c r="H3" s="384"/>
      <c r="I3" s="385"/>
      <c r="J3" s="162"/>
    </row>
    <row r="4" spans="1:31" ht="30.75" customHeight="1" x14ac:dyDescent="0.25">
      <c r="A4" s="164" t="s">
        <v>80</v>
      </c>
      <c r="B4" s="163" t="s">
        <v>1</v>
      </c>
      <c r="C4" s="163" t="s">
        <v>218</v>
      </c>
      <c r="D4" s="2" t="s">
        <v>2</v>
      </c>
      <c r="E4" s="2" t="s">
        <v>219</v>
      </c>
      <c r="F4" s="163" t="s">
        <v>220</v>
      </c>
      <c r="G4" s="165" t="s">
        <v>221</v>
      </c>
      <c r="H4" s="163" t="s">
        <v>226</v>
      </c>
      <c r="I4" s="163" t="s">
        <v>301</v>
      </c>
      <c r="J4" s="163" t="s">
        <v>302</v>
      </c>
      <c r="K4" s="166" t="s">
        <v>0</v>
      </c>
      <c r="L4" s="166" t="s">
        <v>224</v>
      </c>
      <c r="M4" s="166" t="s">
        <v>303</v>
      </c>
      <c r="N4" s="166" t="s">
        <v>304</v>
      </c>
      <c r="O4" s="163" t="s">
        <v>305</v>
      </c>
      <c r="P4" s="166" t="s">
        <v>101</v>
      </c>
      <c r="Q4" t="s">
        <v>102</v>
      </c>
      <c r="R4" t="s">
        <v>103</v>
      </c>
      <c r="S4" t="s">
        <v>104</v>
      </c>
      <c r="T4" t="s">
        <v>105</v>
      </c>
      <c r="U4" t="s">
        <v>106</v>
      </c>
      <c r="V4" t="s">
        <v>107</v>
      </c>
      <c r="W4" t="s">
        <v>108</v>
      </c>
      <c r="X4" t="s">
        <v>109</v>
      </c>
      <c r="Y4" t="s">
        <v>110</v>
      </c>
      <c r="Z4" t="s">
        <v>111</v>
      </c>
      <c r="AA4" s="166" t="s">
        <v>299</v>
      </c>
      <c r="AB4" s="166" t="s">
        <v>300</v>
      </c>
      <c r="AC4" s="166" t="s">
        <v>306</v>
      </c>
      <c r="AD4" s="166" t="s">
        <v>307</v>
      </c>
      <c r="AE4" s="166" t="s">
        <v>308</v>
      </c>
    </row>
    <row r="5" spans="1:31" ht="37.5" customHeight="1" x14ac:dyDescent="0.25">
      <c r="A5" s="168">
        <v>42728794</v>
      </c>
      <c r="B5" s="167">
        <v>7801</v>
      </c>
      <c r="C5" s="167" t="s">
        <v>309</v>
      </c>
      <c r="D5" s="2" t="s">
        <v>310</v>
      </c>
      <c r="E5" s="2">
        <v>46279</v>
      </c>
      <c r="F5" s="167" t="s">
        <v>311</v>
      </c>
      <c r="G5" s="169" t="s">
        <v>312</v>
      </c>
      <c r="H5" s="167" t="s">
        <v>116</v>
      </c>
      <c r="I5" s="167" t="s">
        <v>116</v>
      </c>
      <c r="J5" s="167" t="s">
        <v>116</v>
      </c>
      <c r="K5" s="167"/>
      <c r="L5" s="167"/>
      <c r="M5" s="167"/>
      <c r="N5" s="167"/>
      <c r="O5" s="167" t="s">
        <v>116</v>
      </c>
      <c r="P5" s="167" t="s">
        <v>116</v>
      </c>
      <c r="Q5"/>
      <c r="R5">
        <v>4</v>
      </c>
      <c r="S5" t="s">
        <v>313</v>
      </c>
      <c r="T5" t="s">
        <v>116</v>
      </c>
      <c r="U5" t="s">
        <v>314</v>
      </c>
      <c r="V5" t="s">
        <v>315</v>
      </c>
      <c r="W5" t="s">
        <v>289</v>
      </c>
      <c r="X5" t="s">
        <v>290</v>
      </c>
      <c r="Y5" t="s">
        <v>316</v>
      </c>
      <c r="Z5" t="s">
        <v>317</v>
      </c>
      <c r="AA5" s="167"/>
      <c r="AB5" s="167"/>
      <c r="AC5" s="167"/>
      <c r="AD5" s="167"/>
      <c r="AE5" s="167"/>
    </row>
    <row r="6" spans="1:31" ht="32.25" customHeight="1" x14ac:dyDescent="0.25">
      <c r="A6" s="164">
        <v>510720872</v>
      </c>
      <c r="B6" s="163">
        <v>7802</v>
      </c>
      <c r="C6" s="163" t="s">
        <v>318</v>
      </c>
      <c r="D6" s="2" t="s">
        <v>319</v>
      </c>
      <c r="E6" s="2">
        <v>46283</v>
      </c>
      <c r="F6" s="163" t="s">
        <v>320</v>
      </c>
      <c r="G6" s="170" t="s">
        <v>266</v>
      </c>
      <c r="H6" s="163" t="s">
        <v>116</v>
      </c>
      <c r="I6" s="163" t="s">
        <v>116</v>
      </c>
      <c r="J6" s="163" t="s">
        <v>116</v>
      </c>
      <c r="K6" s="163"/>
      <c r="L6" s="163"/>
      <c r="M6" s="163"/>
      <c r="N6" s="163"/>
      <c r="O6" s="163" t="s">
        <v>116</v>
      </c>
      <c r="P6" s="163" t="s">
        <v>116</v>
      </c>
      <c r="Q6"/>
      <c r="R6">
        <v>6</v>
      </c>
      <c r="S6" t="s">
        <v>321</v>
      </c>
      <c r="T6" t="s">
        <v>116</v>
      </c>
      <c r="U6" t="s">
        <v>322</v>
      </c>
      <c r="V6" t="s">
        <v>123</v>
      </c>
      <c r="W6" t="s">
        <v>289</v>
      </c>
      <c r="X6" t="s">
        <v>323</v>
      </c>
      <c r="Y6" t="s">
        <v>324</v>
      </c>
      <c r="Z6" t="s">
        <v>325</v>
      </c>
      <c r="AA6" s="163"/>
      <c r="AB6" s="163"/>
      <c r="AC6" s="163"/>
      <c r="AD6" s="163"/>
      <c r="AE6" s="163"/>
    </row>
    <row r="7" spans="1:31" ht="29.25" customHeight="1" x14ac:dyDescent="0.25">
      <c r="A7" s="164">
        <v>501763029</v>
      </c>
      <c r="B7" s="163">
        <v>7803</v>
      </c>
      <c r="C7" s="163" t="s">
        <v>326</v>
      </c>
      <c r="D7" s="2" t="s">
        <v>327</v>
      </c>
      <c r="E7" s="2">
        <v>46282</v>
      </c>
      <c r="F7" s="163" t="s">
        <v>328</v>
      </c>
      <c r="G7" s="170" t="s">
        <v>266</v>
      </c>
      <c r="H7" s="163" t="s">
        <v>116</v>
      </c>
      <c r="I7" s="163" t="s">
        <v>116</v>
      </c>
      <c r="J7" s="163" t="s">
        <v>116</v>
      </c>
      <c r="K7" s="163"/>
      <c r="L7" s="163"/>
      <c r="M7" s="163"/>
      <c r="N7" s="163"/>
      <c r="O7" s="163" t="s">
        <v>116</v>
      </c>
      <c r="P7" s="163" t="s">
        <v>116</v>
      </c>
      <c r="Q7"/>
      <c r="R7">
        <v>5</v>
      </c>
      <c r="S7" t="s">
        <v>329</v>
      </c>
      <c r="T7" t="s">
        <v>116</v>
      </c>
      <c r="U7" t="s">
        <v>314</v>
      </c>
      <c r="V7" t="s">
        <v>330</v>
      </c>
      <c r="W7" t="s">
        <v>289</v>
      </c>
      <c r="X7" t="s">
        <v>236</v>
      </c>
      <c r="Y7" t="s">
        <v>331</v>
      </c>
      <c r="Z7" t="s">
        <v>332</v>
      </c>
      <c r="AA7" s="163"/>
      <c r="AB7" s="163"/>
      <c r="AC7" s="163"/>
      <c r="AD7" s="163"/>
      <c r="AE7" s="163"/>
    </row>
    <row r="8" spans="1:31" ht="32.25" customHeight="1" x14ac:dyDescent="0.25">
      <c r="A8" s="164">
        <v>14904970</v>
      </c>
      <c r="B8" s="163">
        <v>7804</v>
      </c>
      <c r="C8" s="163" t="s">
        <v>333</v>
      </c>
      <c r="D8" s="2" t="s">
        <v>334</v>
      </c>
      <c r="E8" s="2">
        <v>46282</v>
      </c>
      <c r="F8" s="163" t="s">
        <v>335</v>
      </c>
      <c r="G8" s="170" t="s">
        <v>231</v>
      </c>
      <c r="H8" s="163" t="s">
        <v>116</v>
      </c>
      <c r="I8" s="163" t="s">
        <v>116</v>
      </c>
      <c r="J8" s="163" t="s">
        <v>116</v>
      </c>
      <c r="K8" s="163"/>
      <c r="L8" s="163"/>
      <c r="M8" s="163"/>
      <c r="N8" s="163"/>
      <c r="O8" s="163" t="s">
        <v>116</v>
      </c>
      <c r="P8" s="163" t="s">
        <v>116</v>
      </c>
      <c r="Q8"/>
      <c r="R8">
        <v>4</v>
      </c>
      <c r="S8" t="s">
        <v>336</v>
      </c>
      <c r="T8" t="s">
        <v>116</v>
      </c>
      <c r="U8" t="s">
        <v>79</v>
      </c>
      <c r="V8" t="s">
        <v>135</v>
      </c>
      <c r="W8" t="s">
        <v>260</v>
      </c>
      <c r="X8" t="s">
        <v>150</v>
      </c>
      <c r="Y8" t="s">
        <v>337</v>
      </c>
      <c r="Z8" t="s">
        <v>317</v>
      </c>
      <c r="AA8" s="163"/>
      <c r="AB8" s="163"/>
      <c r="AC8" s="163"/>
      <c r="AD8" s="163"/>
      <c r="AE8" s="163"/>
    </row>
    <row r="9" spans="1:31" ht="34.5" customHeight="1" x14ac:dyDescent="0.25">
      <c r="A9" s="164">
        <v>503058215</v>
      </c>
      <c r="B9" s="163">
        <v>7805</v>
      </c>
      <c r="C9" s="163" t="s">
        <v>338</v>
      </c>
      <c r="D9" s="2" t="s">
        <v>339</v>
      </c>
      <c r="E9" s="2">
        <v>46284</v>
      </c>
      <c r="F9" s="163" t="s">
        <v>116</v>
      </c>
      <c r="G9" s="170" t="s">
        <v>231</v>
      </c>
      <c r="H9" s="163" t="s">
        <v>116</v>
      </c>
      <c r="I9" s="163" t="s">
        <v>116</v>
      </c>
      <c r="J9" s="163" t="s">
        <v>116</v>
      </c>
      <c r="K9" s="163"/>
      <c r="L9" s="163"/>
      <c r="M9" s="163"/>
      <c r="N9" s="163"/>
      <c r="O9" s="163" t="s">
        <v>116</v>
      </c>
      <c r="P9" s="163" t="s">
        <v>116</v>
      </c>
      <c r="Q9"/>
      <c r="R9">
        <v>5</v>
      </c>
      <c r="S9" t="s">
        <v>340</v>
      </c>
      <c r="T9" t="s">
        <v>116</v>
      </c>
      <c r="U9" t="s">
        <v>79</v>
      </c>
      <c r="V9" t="s">
        <v>341</v>
      </c>
      <c r="W9" t="s">
        <v>296</v>
      </c>
      <c r="X9" t="s">
        <v>290</v>
      </c>
      <c r="Y9" t="s">
        <v>342</v>
      </c>
      <c r="Z9" t="s">
        <v>343</v>
      </c>
      <c r="AA9" s="163"/>
      <c r="AB9" s="163"/>
      <c r="AC9" s="163"/>
      <c r="AD9" s="163"/>
      <c r="AE9" s="163"/>
    </row>
    <row r="10" spans="1:31" ht="34.5" customHeight="1" x14ac:dyDescent="0.25">
      <c r="A10" s="164">
        <v>502506323</v>
      </c>
      <c r="B10" s="163">
        <v>7806</v>
      </c>
      <c r="C10" s="163" t="s">
        <v>344</v>
      </c>
      <c r="D10" s="2" t="s">
        <v>229</v>
      </c>
      <c r="E10" s="2">
        <v>46280</v>
      </c>
      <c r="F10" s="163" t="s">
        <v>230</v>
      </c>
      <c r="G10" s="170" t="s">
        <v>231</v>
      </c>
      <c r="H10" s="163" t="s">
        <v>116</v>
      </c>
      <c r="I10" s="163" t="s">
        <v>116</v>
      </c>
      <c r="J10" s="163" t="s">
        <v>116</v>
      </c>
      <c r="K10" s="163"/>
      <c r="L10" s="163"/>
      <c r="M10" s="163"/>
      <c r="N10" s="163"/>
      <c r="O10" s="163" t="s">
        <v>116</v>
      </c>
      <c r="P10" s="163" t="s">
        <v>116</v>
      </c>
      <c r="Q10"/>
      <c r="R10">
        <v>2</v>
      </c>
      <c r="S10" t="s">
        <v>232</v>
      </c>
      <c r="T10" t="s">
        <v>233</v>
      </c>
      <c r="U10" t="s">
        <v>234</v>
      </c>
      <c r="V10" t="s">
        <v>235</v>
      </c>
      <c r="W10" t="s">
        <v>124</v>
      </c>
      <c r="X10" t="s">
        <v>236</v>
      </c>
      <c r="Y10" t="s">
        <v>237</v>
      </c>
      <c r="Z10" t="s">
        <v>238</v>
      </c>
      <c r="AA10" s="163"/>
      <c r="AB10" s="163"/>
      <c r="AC10" s="163"/>
      <c r="AD10" s="163"/>
      <c r="AE10" s="163"/>
    </row>
    <row r="11" spans="1:31" ht="30.75" customHeight="1" x14ac:dyDescent="0.25">
      <c r="A11" s="164">
        <v>512474947</v>
      </c>
      <c r="B11" s="163">
        <v>7807</v>
      </c>
      <c r="C11" s="163"/>
      <c r="D11" s="2" t="s">
        <v>112</v>
      </c>
      <c r="E11" s="2">
        <v>46280</v>
      </c>
      <c r="F11" s="163" t="s">
        <v>239</v>
      </c>
      <c r="G11" s="170" t="s">
        <v>240</v>
      </c>
      <c r="H11" s="163" t="s">
        <v>242</v>
      </c>
      <c r="I11" s="163" t="s">
        <v>116</v>
      </c>
      <c r="J11" s="163" t="s">
        <v>116</v>
      </c>
      <c r="K11" s="163"/>
      <c r="L11" s="163"/>
      <c r="M11" s="163"/>
      <c r="N11" s="163"/>
      <c r="O11" s="163" t="s">
        <v>116</v>
      </c>
      <c r="P11" s="163" t="s">
        <v>116</v>
      </c>
      <c r="Q11"/>
      <c r="R11">
        <v>26</v>
      </c>
      <c r="S11" t="s">
        <v>121</v>
      </c>
      <c r="T11" t="s">
        <v>116</v>
      </c>
      <c r="U11" t="s">
        <v>122</v>
      </c>
      <c r="V11" t="s">
        <v>123</v>
      </c>
      <c r="W11" t="s">
        <v>124</v>
      </c>
      <c r="X11" t="s">
        <v>125</v>
      </c>
      <c r="Y11" t="s">
        <v>126</v>
      </c>
      <c r="Z11" t="s">
        <v>127</v>
      </c>
      <c r="AA11" s="163"/>
      <c r="AB11" s="163"/>
      <c r="AC11" s="163"/>
      <c r="AD11" s="163"/>
      <c r="AE11" s="163"/>
    </row>
    <row r="12" spans="1:31" ht="36" customHeight="1" x14ac:dyDescent="0.25">
      <c r="A12" s="164">
        <v>15240450</v>
      </c>
      <c r="B12" s="163">
        <v>7808</v>
      </c>
      <c r="C12" s="163" t="s">
        <v>345</v>
      </c>
      <c r="D12" s="2" t="s">
        <v>346</v>
      </c>
      <c r="E12" s="2">
        <v>46283</v>
      </c>
      <c r="F12" s="163" t="s">
        <v>347</v>
      </c>
      <c r="G12" s="170" t="s">
        <v>266</v>
      </c>
      <c r="H12" s="163" t="s">
        <v>116</v>
      </c>
      <c r="I12" s="163" t="s">
        <v>116</v>
      </c>
      <c r="J12" s="163" t="s">
        <v>116</v>
      </c>
      <c r="K12" s="163"/>
      <c r="L12" s="163"/>
      <c r="M12" s="163"/>
      <c r="N12" s="163"/>
      <c r="O12" s="163" t="s">
        <v>116</v>
      </c>
      <c r="P12" s="163" t="s">
        <v>116</v>
      </c>
      <c r="Q12"/>
      <c r="R12">
        <v>26</v>
      </c>
      <c r="S12" t="s">
        <v>348</v>
      </c>
      <c r="T12" t="s">
        <v>116</v>
      </c>
      <c r="U12" t="s">
        <v>258</v>
      </c>
      <c r="V12" t="s">
        <v>330</v>
      </c>
      <c r="W12" t="s">
        <v>349</v>
      </c>
      <c r="X12" t="s">
        <v>261</v>
      </c>
      <c r="Y12" t="s">
        <v>350</v>
      </c>
      <c r="Z12" t="s">
        <v>263</v>
      </c>
      <c r="AA12" s="163"/>
      <c r="AB12" s="163"/>
      <c r="AC12" s="163"/>
      <c r="AD12" s="163"/>
      <c r="AE12" s="163"/>
    </row>
    <row r="13" spans="1:31" ht="33.75" customHeight="1" x14ac:dyDescent="0.25">
      <c r="A13" s="164">
        <v>13063952</v>
      </c>
      <c r="B13" s="163">
        <v>7809</v>
      </c>
      <c r="C13" s="163" t="s">
        <v>351</v>
      </c>
      <c r="D13" s="2" t="s">
        <v>352</v>
      </c>
      <c r="E13" s="2">
        <v>46281</v>
      </c>
      <c r="F13" s="163" t="s">
        <v>353</v>
      </c>
      <c r="G13" s="170" t="s">
        <v>266</v>
      </c>
      <c r="H13" s="163" t="s">
        <v>116</v>
      </c>
      <c r="I13" s="163" t="s">
        <v>116</v>
      </c>
      <c r="J13" s="163" t="s">
        <v>116</v>
      </c>
      <c r="K13" s="163"/>
      <c r="L13" s="163"/>
      <c r="M13" s="163"/>
      <c r="N13" s="163"/>
      <c r="O13" s="163" t="s">
        <v>116</v>
      </c>
      <c r="P13" s="163" t="s">
        <v>116</v>
      </c>
      <c r="Q13"/>
      <c r="R13">
        <v>4</v>
      </c>
      <c r="S13" t="s">
        <v>354</v>
      </c>
      <c r="T13" t="s">
        <v>355</v>
      </c>
      <c r="U13" t="s">
        <v>288</v>
      </c>
      <c r="V13" t="s">
        <v>356</v>
      </c>
      <c r="W13" t="s">
        <v>357</v>
      </c>
      <c r="X13" t="s">
        <v>358</v>
      </c>
      <c r="Y13" t="s">
        <v>359</v>
      </c>
      <c r="Z13" t="s">
        <v>263</v>
      </c>
      <c r="AA13" s="163"/>
      <c r="AB13" s="163"/>
      <c r="AC13" s="163"/>
      <c r="AD13" s="163"/>
      <c r="AE13" s="163"/>
    </row>
    <row r="14" spans="1:31" ht="40.5" customHeight="1" x14ac:dyDescent="0.25">
      <c r="A14" s="164">
        <v>37723186</v>
      </c>
      <c r="B14" s="163">
        <v>7810</v>
      </c>
      <c r="C14" s="163" t="s">
        <v>360</v>
      </c>
      <c r="D14" s="2" t="s">
        <v>361</v>
      </c>
      <c r="E14" s="2">
        <v>46288</v>
      </c>
      <c r="F14" s="163" t="s">
        <v>362</v>
      </c>
      <c r="G14" s="170" t="s">
        <v>231</v>
      </c>
      <c r="H14" s="163" t="s">
        <v>116</v>
      </c>
      <c r="I14" s="163" t="s">
        <v>116</v>
      </c>
      <c r="J14" s="163" t="s">
        <v>116</v>
      </c>
      <c r="K14" s="163"/>
      <c r="L14" s="163"/>
      <c r="M14" s="163"/>
      <c r="N14" s="163"/>
      <c r="O14" s="163" t="s">
        <v>116</v>
      </c>
      <c r="P14" s="163" t="s">
        <v>116</v>
      </c>
      <c r="Q14"/>
      <c r="R14">
        <v>2</v>
      </c>
      <c r="S14" t="s">
        <v>363</v>
      </c>
      <c r="T14" t="s">
        <v>364</v>
      </c>
      <c r="U14" t="s">
        <v>234</v>
      </c>
      <c r="V14" t="s">
        <v>280</v>
      </c>
      <c r="W14" t="s">
        <v>248</v>
      </c>
      <c r="X14" t="s">
        <v>116</v>
      </c>
      <c r="Y14" t="s">
        <v>365</v>
      </c>
      <c r="Z14" t="s">
        <v>366</v>
      </c>
      <c r="AA14" s="163"/>
      <c r="AB14" s="163"/>
      <c r="AC14" s="163"/>
      <c r="AD14" s="163"/>
      <c r="AE14" s="163"/>
    </row>
    <row r="15" spans="1:31" ht="42" customHeight="1" x14ac:dyDescent="0.25">
      <c r="A15" s="164">
        <v>19749813</v>
      </c>
      <c r="B15" s="163">
        <v>7811</v>
      </c>
      <c r="C15" s="163" t="s">
        <v>367</v>
      </c>
      <c r="D15" s="2" t="s">
        <v>368</v>
      </c>
      <c r="E15" s="2">
        <v>46282</v>
      </c>
      <c r="F15" s="163" t="s">
        <v>369</v>
      </c>
      <c r="G15" s="170" t="s">
        <v>266</v>
      </c>
      <c r="H15" s="163" t="s">
        <v>116</v>
      </c>
      <c r="I15" s="163" t="s">
        <v>116</v>
      </c>
      <c r="J15" s="163" t="s">
        <v>116</v>
      </c>
      <c r="K15" s="163"/>
      <c r="L15" s="163"/>
      <c r="M15" s="163"/>
      <c r="N15" s="163"/>
      <c r="O15" s="163" t="s">
        <v>116</v>
      </c>
      <c r="P15" s="163" t="s">
        <v>116</v>
      </c>
      <c r="Q15"/>
      <c r="R15">
        <v>11</v>
      </c>
      <c r="S15" t="s">
        <v>370</v>
      </c>
      <c r="T15" t="s">
        <v>116</v>
      </c>
      <c r="U15" t="s">
        <v>269</v>
      </c>
      <c r="V15" t="s">
        <v>149</v>
      </c>
      <c r="W15" t="s">
        <v>349</v>
      </c>
      <c r="X15" t="s">
        <v>323</v>
      </c>
      <c r="Y15" t="s">
        <v>371</v>
      </c>
      <c r="Z15" t="s">
        <v>372</v>
      </c>
      <c r="AA15" s="163"/>
      <c r="AB15" s="163"/>
      <c r="AC15" s="163"/>
      <c r="AD15" s="163"/>
      <c r="AE15" s="163"/>
    </row>
    <row r="16" spans="1:31" ht="34.5" customHeight="1" x14ac:dyDescent="0.25">
      <c r="A16" s="164">
        <v>502414572</v>
      </c>
      <c r="B16" s="163">
        <v>7812</v>
      </c>
      <c r="C16" s="163" t="s">
        <v>373</v>
      </c>
      <c r="D16" s="2" t="s">
        <v>374</v>
      </c>
      <c r="F16" s="163" t="s">
        <v>116</v>
      </c>
      <c r="G16" s="170" t="s">
        <v>116</v>
      </c>
      <c r="H16" s="163" t="s">
        <v>116</v>
      </c>
      <c r="I16" s="163" t="s">
        <v>116</v>
      </c>
      <c r="J16" s="163" t="s">
        <v>116</v>
      </c>
      <c r="K16" s="163"/>
      <c r="L16" s="163"/>
      <c r="M16" s="163"/>
      <c r="N16" s="163"/>
      <c r="O16" s="163" t="s">
        <v>116</v>
      </c>
      <c r="P16" s="163" t="s">
        <v>116</v>
      </c>
      <c r="Q16"/>
      <c r="R16"/>
      <c r="S16" t="s">
        <v>116</v>
      </c>
      <c r="T16" t="s">
        <v>116</v>
      </c>
      <c r="U16" t="s">
        <v>116</v>
      </c>
      <c r="V16" t="s">
        <v>116</v>
      </c>
      <c r="W16" t="s">
        <v>116</v>
      </c>
      <c r="X16" t="s">
        <v>116</v>
      </c>
      <c r="Y16" t="s">
        <v>116</v>
      </c>
      <c r="Z16" t="s">
        <v>116</v>
      </c>
      <c r="AA16" s="163"/>
      <c r="AB16" s="163"/>
      <c r="AC16" s="163"/>
      <c r="AD16" s="163"/>
      <c r="AE16" s="163"/>
    </row>
    <row r="17" spans="1:31" ht="32.25" customHeight="1" x14ac:dyDescent="0.25">
      <c r="A17" s="164">
        <v>511922674</v>
      </c>
      <c r="B17" s="163">
        <v>7813</v>
      </c>
      <c r="C17" s="163" t="s">
        <v>375</v>
      </c>
      <c r="D17" s="2" t="s">
        <v>128</v>
      </c>
      <c r="E17" s="2">
        <v>46296</v>
      </c>
      <c r="F17" s="163" t="s">
        <v>376</v>
      </c>
      <c r="G17" s="170" t="s">
        <v>231</v>
      </c>
      <c r="H17" s="163" t="s">
        <v>377</v>
      </c>
      <c r="I17" s="163" t="s">
        <v>116</v>
      </c>
      <c r="J17" s="163" t="s">
        <v>116</v>
      </c>
      <c r="K17" s="163"/>
      <c r="L17" s="163"/>
      <c r="M17" s="163"/>
      <c r="N17" s="163"/>
      <c r="O17" s="163" t="s">
        <v>116</v>
      </c>
      <c r="P17" s="163" t="s">
        <v>116</v>
      </c>
      <c r="Q17"/>
      <c r="R17">
        <v>5</v>
      </c>
      <c r="S17" t="s">
        <v>133</v>
      </c>
      <c r="T17" t="s">
        <v>116</v>
      </c>
      <c r="U17" t="s">
        <v>134</v>
      </c>
      <c r="V17" t="s">
        <v>135</v>
      </c>
      <c r="W17" t="s">
        <v>136</v>
      </c>
      <c r="X17" t="s">
        <v>137</v>
      </c>
      <c r="Y17" t="s">
        <v>126</v>
      </c>
      <c r="Z17" t="s">
        <v>138</v>
      </c>
      <c r="AA17" s="163"/>
      <c r="AB17" s="163"/>
      <c r="AC17" s="163"/>
      <c r="AD17" s="163"/>
      <c r="AE17" s="163"/>
    </row>
    <row r="18" spans="1:31" ht="36" customHeight="1" x14ac:dyDescent="0.25">
      <c r="A18" s="164">
        <v>15283032</v>
      </c>
      <c r="B18" s="163">
        <v>7814</v>
      </c>
      <c r="C18" s="163" t="s">
        <v>378</v>
      </c>
      <c r="D18" s="2" t="s">
        <v>379</v>
      </c>
      <c r="E18" s="2">
        <v>46282</v>
      </c>
      <c r="F18" s="163" t="s">
        <v>380</v>
      </c>
      <c r="G18" s="170" t="s">
        <v>381</v>
      </c>
      <c r="H18" s="163" t="s">
        <v>116</v>
      </c>
      <c r="I18" s="163" t="s">
        <v>116</v>
      </c>
      <c r="J18" s="163" t="s">
        <v>116</v>
      </c>
      <c r="K18" s="163"/>
      <c r="L18" s="163"/>
      <c r="M18" s="163"/>
      <c r="N18" s="163"/>
      <c r="O18" s="163" t="s">
        <v>116</v>
      </c>
      <c r="P18" s="163" t="s">
        <v>116</v>
      </c>
      <c r="Q18"/>
      <c r="R18">
        <v>4</v>
      </c>
      <c r="S18" t="s">
        <v>382</v>
      </c>
      <c r="T18" t="s">
        <v>116</v>
      </c>
      <c r="U18" t="s">
        <v>212</v>
      </c>
      <c r="V18" t="s">
        <v>123</v>
      </c>
      <c r="W18" t="s">
        <v>281</v>
      </c>
      <c r="X18" t="s">
        <v>383</v>
      </c>
      <c r="Y18" t="s">
        <v>384</v>
      </c>
      <c r="Z18" t="s">
        <v>127</v>
      </c>
      <c r="AA18" s="163"/>
      <c r="AB18" s="163"/>
      <c r="AC18" s="163"/>
      <c r="AD18" s="163"/>
      <c r="AE18" s="163"/>
    </row>
    <row r="19" spans="1:31" ht="32.25" customHeight="1" x14ac:dyDescent="0.25">
      <c r="A19" s="164">
        <v>14093400</v>
      </c>
      <c r="B19" s="163">
        <v>7815</v>
      </c>
      <c r="C19" s="163" t="s">
        <v>385</v>
      </c>
      <c r="D19" s="2" t="s">
        <v>386</v>
      </c>
      <c r="E19" s="2">
        <v>46282</v>
      </c>
      <c r="F19" s="163" t="s">
        <v>387</v>
      </c>
      <c r="G19" s="170" t="s">
        <v>231</v>
      </c>
      <c r="H19" s="163" t="s">
        <v>116</v>
      </c>
      <c r="I19" s="163" t="s">
        <v>116</v>
      </c>
      <c r="J19" s="163" t="s">
        <v>116</v>
      </c>
      <c r="K19" s="163"/>
      <c r="L19" s="163"/>
      <c r="M19" s="163"/>
      <c r="N19" s="163"/>
      <c r="O19" s="163" t="s">
        <v>116</v>
      </c>
      <c r="P19" s="163" t="s">
        <v>116</v>
      </c>
      <c r="Q19"/>
      <c r="R19">
        <v>5</v>
      </c>
      <c r="S19" t="s">
        <v>388</v>
      </c>
      <c r="T19" t="s">
        <v>116</v>
      </c>
      <c r="U19" t="s">
        <v>148</v>
      </c>
      <c r="V19" t="s">
        <v>123</v>
      </c>
      <c r="W19" t="s">
        <v>389</v>
      </c>
      <c r="X19" t="s">
        <v>282</v>
      </c>
      <c r="Y19" t="s">
        <v>390</v>
      </c>
      <c r="Z19" t="s">
        <v>325</v>
      </c>
      <c r="AA19" s="163"/>
      <c r="AB19" s="163"/>
      <c r="AC19" s="163"/>
      <c r="AD19" s="163"/>
      <c r="AE19" s="163"/>
    </row>
    <row r="20" spans="1:31" ht="34.5" customHeight="1" x14ac:dyDescent="0.25">
      <c r="A20" s="164">
        <v>501738673</v>
      </c>
      <c r="B20" s="163">
        <v>7816</v>
      </c>
      <c r="C20" s="163" t="s">
        <v>391</v>
      </c>
      <c r="D20" s="2" t="s">
        <v>392</v>
      </c>
      <c r="E20" s="2">
        <v>46296</v>
      </c>
      <c r="F20" s="163" t="s">
        <v>393</v>
      </c>
      <c r="G20" s="170" t="s">
        <v>231</v>
      </c>
      <c r="H20" s="163" t="s">
        <v>394</v>
      </c>
      <c r="I20" s="163" t="s">
        <v>116</v>
      </c>
      <c r="J20" s="163" t="s">
        <v>116</v>
      </c>
      <c r="K20" s="163"/>
      <c r="L20" s="163"/>
      <c r="M20" s="163"/>
      <c r="N20" s="163"/>
      <c r="O20" s="163" t="s">
        <v>116</v>
      </c>
      <c r="P20" s="163" t="s">
        <v>116</v>
      </c>
      <c r="Q20"/>
      <c r="R20">
        <v>3</v>
      </c>
      <c r="S20" t="s">
        <v>395</v>
      </c>
      <c r="T20" t="s">
        <v>116</v>
      </c>
      <c r="U20" t="s">
        <v>79</v>
      </c>
      <c r="V20" t="s">
        <v>396</v>
      </c>
      <c r="W20" t="s">
        <v>248</v>
      </c>
      <c r="X20" t="s">
        <v>271</v>
      </c>
      <c r="Y20" t="s">
        <v>237</v>
      </c>
      <c r="Z20" t="s">
        <v>152</v>
      </c>
      <c r="AA20" s="163"/>
      <c r="AB20" s="163"/>
      <c r="AC20" s="163"/>
      <c r="AD20" s="163"/>
      <c r="AE20" s="163"/>
    </row>
    <row r="21" spans="1:31" ht="37.5" customHeight="1" x14ac:dyDescent="0.25">
      <c r="A21" s="164">
        <v>7444285</v>
      </c>
      <c r="B21" s="163">
        <v>7817</v>
      </c>
      <c r="C21" s="163" t="s">
        <v>397</v>
      </c>
      <c r="D21" s="2" t="s">
        <v>398</v>
      </c>
      <c r="E21" s="2">
        <v>46281</v>
      </c>
      <c r="F21" s="163" t="s">
        <v>399</v>
      </c>
      <c r="G21" s="170" t="s">
        <v>266</v>
      </c>
      <c r="H21" s="163" t="s">
        <v>116</v>
      </c>
      <c r="I21" s="163" t="s">
        <v>116</v>
      </c>
      <c r="J21" s="163" t="s">
        <v>116</v>
      </c>
      <c r="K21" s="163"/>
      <c r="L21" s="163"/>
      <c r="M21" s="163"/>
      <c r="N21" s="163"/>
      <c r="O21" s="163" t="s">
        <v>116</v>
      </c>
      <c r="P21" s="163" t="s">
        <v>116</v>
      </c>
      <c r="Q21"/>
      <c r="R21">
        <v>4</v>
      </c>
      <c r="S21" t="s">
        <v>400</v>
      </c>
      <c r="T21" t="s">
        <v>116</v>
      </c>
      <c r="U21" t="s">
        <v>134</v>
      </c>
      <c r="V21" t="s">
        <v>401</v>
      </c>
      <c r="W21" t="s">
        <v>349</v>
      </c>
      <c r="X21" t="s">
        <v>261</v>
      </c>
      <c r="Y21" t="s">
        <v>402</v>
      </c>
      <c r="Z21" t="s">
        <v>403</v>
      </c>
      <c r="AA21" s="163"/>
      <c r="AB21" s="163"/>
      <c r="AC21" s="163"/>
      <c r="AD21" s="163"/>
      <c r="AE21" s="163"/>
    </row>
    <row r="22" spans="1:31" ht="34.5" customHeight="1" x14ac:dyDescent="0.25">
      <c r="A22" s="164">
        <v>13291253</v>
      </c>
      <c r="B22" s="163">
        <v>7818</v>
      </c>
      <c r="C22" s="163" t="s">
        <v>404</v>
      </c>
      <c r="D22" s="2" t="s">
        <v>243</v>
      </c>
      <c r="E22" s="2">
        <v>46280</v>
      </c>
      <c r="F22" s="163" t="s">
        <v>244</v>
      </c>
      <c r="G22" s="170" t="s">
        <v>231</v>
      </c>
      <c r="H22" s="163" t="s">
        <v>245</v>
      </c>
      <c r="I22" s="163" t="s">
        <v>116</v>
      </c>
      <c r="J22" s="163" t="s">
        <v>116</v>
      </c>
      <c r="K22" s="163"/>
      <c r="L22" s="163"/>
      <c r="M22" s="163"/>
      <c r="N22" s="163"/>
      <c r="O22" s="163" t="s">
        <v>116</v>
      </c>
      <c r="P22" s="163" t="s">
        <v>116</v>
      </c>
      <c r="Q22"/>
      <c r="R22">
        <v>4</v>
      </c>
      <c r="S22" t="s">
        <v>246</v>
      </c>
      <c r="T22" t="s">
        <v>116</v>
      </c>
      <c r="U22" t="s">
        <v>234</v>
      </c>
      <c r="V22" t="s">
        <v>247</v>
      </c>
      <c r="W22" t="s">
        <v>248</v>
      </c>
      <c r="X22" t="s">
        <v>116</v>
      </c>
      <c r="Y22" t="s">
        <v>249</v>
      </c>
      <c r="Z22" t="s">
        <v>250</v>
      </c>
      <c r="AA22" s="163"/>
      <c r="AB22" s="163"/>
      <c r="AC22" s="163"/>
      <c r="AD22" s="163"/>
      <c r="AE22" s="163"/>
    </row>
    <row r="23" spans="1:31" ht="27" customHeight="1" x14ac:dyDescent="0.25">
      <c r="A23" s="164">
        <v>512328008</v>
      </c>
      <c r="B23" s="163">
        <v>7819</v>
      </c>
      <c r="C23" s="163" t="s">
        <v>405</v>
      </c>
      <c r="D23" s="2" t="s">
        <v>406</v>
      </c>
      <c r="E23" s="2">
        <v>46296</v>
      </c>
      <c r="F23" s="163" t="s">
        <v>407</v>
      </c>
      <c r="G23" s="170" t="s">
        <v>231</v>
      </c>
      <c r="H23" s="163" t="s">
        <v>408</v>
      </c>
      <c r="I23" s="163" t="s">
        <v>116</v>
      </c>
      <c r="J23" s="163" t="s">
        <v>116</v>
      </c>
      <c r="K23" s="163"/>
      <c r="L23" s="163"/>
      <c r="M23" s="163"/>
      <c r="N23" s="163"/>
      <c r="O23" s="163" t="s">
        <v>116</v>
      </c>
      <c r="P23" s="163" t="s">
        <v>116</v>
      </c>
      <c r="Q23"/>
      <c r="R23">
        <v>2</v>
      </c>
      <c r="S23" t="s">
        <v>409</v>
      </c>
      <c r="T23" t="s">
        <v>116</v>
      </c>
      <c r="U23" t="s">
        <v>79</v>
      </c>
      <c r="V23" t="s">
        <v>135</v>
      </c>
      <c r="W23" t="s">
        <v>124</v>
      </c>
      <c r="X23" t="s">
        <v>261</v>
      </c>
      <c r="Y23" t="s">
        <v>237</v>
      </c>
      <c r="Z23" t="s">
        <v>410</v>
      </c>
      <c r="AA23" s="163"/>
      <c r="AB23" s="163"/>
      <c r="AC23" s="163"/>
      <c r="AD23" s="163"/>
      <c r="AE23" s="163"/>
    </row>
    <row r="24" spans="1:31" ht="37.5" customHeight="1" x14ac:dyDescent="0.25">
      <c r="A24" s="164">
        <v>502015046</v>
      </c>
      <c r="B24" s="163">
        <v>7820</v>
      </c>
      <c r="C24" s="163" t="s">
        <v>411</v>
      </c>
      <c r="D24" s="2" t="s">
        <v>412</v>
      </c>
      <c r="E24" s="2">
        <v>46284</v>
      </c>
      <c r="F24" s="163" t="s">
        <v>413</v>
      </c>
      <c r="G24" s="170" t="s">
        <v>231</v>
      </c>
      <c r="H24" s="163" t="s">
        <v>116</v>
      </c>
      <c r="I24" s="163" t="s">
        <v>116</v>
      </c>
      <c r="J24" s="163" t="s">
        <v>116</v>
      </c>
      <c r="K24" s="163"/>
      <c r="L24" s="163"/>
      <c r="M24" s="163"/>
      <c r="N24" s="163"/>
      <c r="O24" s="163" t="s">
        <v>116</v>
      </c>
      <c r="P24" s="163" t="s">
        <v>116</v>
      </c>
      <c r="Q24"/>
      <c r="R24">
        <v>2</v>
      </c>
      <c r="S24" t="s">
        <v>414</v>
      </c>
      <c r="T24" t="s">
        <v>116</v>
      </c>
      <c r="U24" t="s">
        <v>415</v>
      </c>
      <c r="V24" t="s">
        <v>123</v>
      </c>
      <c r="W24" t="s">
        <v>416</v>
      </c>
      <c r="X24" t="s">
        <v>261</v>
      </c>
      <c r="Y24" t="s">
        <v>417</v>
      </c>
      <c r="Z24" t="s">
        <v>418</v>
      </c>
      <c r="AA24" s="163"/>
      <c r="AB24" s="163"/>
      <c r="AC24" s="163"/>
      <c r="AD24" s="163"/>
      <c r="AE24" s="163"/>
    </row>
    <row r="25" spans="1:31" ht="39.75" customHeight="1" x14ac:dyDescent="0.25">
      <c r="A25" s="164">
        <v>11965853</v>
      </c>
      <c r="B25" s="163">
        <v>7821</v>
      </c>
      <c r="C25" s="163" t="s">
        <v>419</v>
      </c>
      <c r="D25" s="2" t="s">
        <v>420</v>
      </c>
      <c r="E25" s="2">
        <v>46281</v>
      </c>
      <c r="F25" s="163" t="s">
        <v>421</v>
      </c>
      <c r="G25" s="170" t="s">
        <v>266</v>
      </c>
      <c r="H25" s="163" t="s">
        <v>116</v>
      </c>
      <c r="I25" s="163" t="s">
        <v>116</v>
      </c>
      <c r="J25" s="163" t="s">
        <v>116</v>
      </c>
      <c r="K25" s="163"/>
      <c r="L25" s="163"/>
      <c r="M25" s="163"/>
      <c r="N25" s="163"/>
      <c r="O25" s="163" t="s">
        <v>116</v>
      </c>
      <c r="P25" s="163" t="s">
        <v>116</v>
      </c>
      <c r="Q25"/>
      <c r="R25">
        <v>5</v>
      </c>
      <c r="S25" t="s">
        <v>422</v>
      </c>
      <c r="T25" t="s">
        <v>116</v>
      </c>
      <c r="U25" t="s">
        <v>258</v>
      </c>
      <c r="V25" t="s">
        <v>280</v>
      </c>
      <c r="W25" t="s">
        <v>124</v>
      </c>
      <c r="X25" t="s">
        <v>150</v>
      </c>
      <c r="Y25" t="s">
        <v>423</v>
      </c>
      <c r="Z25" t="s">
        <v>424</v>
      </c>
      <c r="AA25" s="163"/>
      <c r="AB25" s="163"/>
      <c r="AC25" s="163"/>
      <c r="AD25" s="163"/>
      <c r="AE25" s="163"/>
    </row>
    <row r="26" spans="1:31" ht="39.75" customHeight="1" x14ac:dyDescent="0.25">
      <c r="A26" s="164">
        <v>511682942</v>
      </c>
      <c r="B26" s="163">
        <v>7822</v>
      </c>
      <c r="C26" s="163" t="s">
        <v>425</v>
      </c>
      <c r="D26" s="2" t="s">
        <v>139</v>
      </c>
      <c r="E26" s="2">
        <v>46280</v>
      </c>
      <c r="F26" s="163" t="s">
        <v>251</v>
      </c>
      <c r="G26" s="170" t="s">
        <v>252</v>
      </c>
      <c r="H26" s="163" t="s">
        <v>116</v>
      </c>
      <c r="I26" s="163" t="s">
        <v>116</v>
      </c>
      <c r="J26" s="163" t="s">
        <v>116</v>
      </c>
      <c r="K26" s="163"/>
      <c r="L26" s="163"/>
      <c r="M26" s="163"/>
      <c r="N26" s="163"/>
      <c r="O26" s="163" t="s">
        <v>116</v>
      </c>
      <c r="P26" s="163" t="s">
        <v>116</v>
      </c>
      <c r="Q26"/>
      <c r="R26">
        <v>3</v>
      </c>
      <c r="S26" t="s">
        <v>147</v>
      </c>
      <c r="T26" t="s">
        <v>116</v>
      </c>
      <c r="U26" t="s">
        <v>148</v>
      </c>
      <c r="V26" t="s">
        <v>149</v>
      </c>
      <c r="W26" t="s">
        <v>124</v>
      </c>
      <c r="X26" t="s">
        <v>150</v>
      </c>
      <c r="Y26" t="s">
        <v>151</v>
      </c>
      <c r="Z26" t="s">
        <v>152</v>
      </c>
      <c r="AA26" s="163"/>
      <c r="AB26" s="163"/>
      <c r="AC26" s="163"/>
      <c r="AD26" s="163"/>
      <c r="AE26" s="163"/>
    </row>
    <row r="27" spans="1:31" ht="39.75" customHeight="1" x14ac:dyDescent="0.25">
      <c r="A27" s="164">
        <v>40179981</v>
      </c>
      <c r="B27" s="163">
        <v>7823</v>
      </c>
      <c r="C27" s="163" t="s">
        <v>426</v>
      </c>
      <c r="D27" s="2" t="s">
        <v>253</v>
      </c>
      <c r="E27" s="2">
        <v>46280</v>
      </c>
      <c r="F27" s="163" t="s">
        <v>254</v>
      </c>
      <c r="G27" s="170" t="s">
        <v>240</v>
      </c>
      <c r="H27" s="163" t="s">
        <v>255</v>
      </c>
      <c r="I27" s="163" t="s">
        <v>116</v>
      </c>
      <c r="J27" s="163" t="s">
        <v>116</v>
      </c>
      <c r="K27" s="163"/>
      <c r="L27" s="163"/>
      <c r="M27" s="163"/>
      <c r="N27" s="163"/>
      <c r="O27" s="163" t="s">
        <v>116</v>
      </c>
      <c r="P27" s="163" t="s">
        <v>116</v>
      </c>
      <c r="Q27"/>
      <c r="R27">
        <v>26</v>
      </c>
      <c r="S27" t="s">
        <v>256</v>
      </c>
      <c r="T27" t="s">
        <v>257</v>
      </c>
      <c r="U27" t="s">
        <v>258</v>
      </c>
      <c r="V27" t="s">
        <v>259</v>
      </c>
      <c r="W27" t="s">
        <v>260</v>
      </c>
      <c r="X27" t="s">
        <v>261</v>
      </c>
      <c r="Y27" t="s">
        <v>262</v>
      </c>
      <c r="Z27" t="s">
        <v>263</v>
      </c>
      <c r="AA27" s="163"/>
      <c r="AB27" s="163"/>
      <c r="AC27" s="163"/>
      <c r="AD27" s="163"/>
      <c r="AE27" s="163"/>
    </row>
    <row r="28" spans="1:31" ht="41.25" customHeight="1" x14ac:dyDescent="0.25">
      <c r="A28" s="164">
        <v>14175524</v>
      </c>
      <c r="B28" s="163">
        <v>7824</v>
      </c>
      <c r="C28" s="163" t="s">
        <v>427</v>
      </c>
      <c r="D28" s="2" t="s">
        <v>428</v>
      </c>
      <c r="E28" s="2">
        <v>46281</v>
      </c>
      <c r="F28" s="163" t="s">
        <v>429</v>
      </c>
      <c r="G28" s="170" t="s">
        <v>231</v>
      </c>
      <c r="H28" s="163" t="s">
        <v>116</v>
      </c>
      <c r="I28" s="163" t="s">
        <v>116</v>
      </c>
      <c r="J28" s="163" t="s">
        <v>116</v>
      </c>
      <c r="K28" s="163"/>
      <c r="L28" s="163"/>
      <c r="M28" s="163"/>
      <c r="N28" s="163"/>
      <c r="O28" s="163" t="s">
        <v>116</v>
      </c>
      <c r="P28" s="163" t="s">
        <v>116</v>
      </c>
      <c r="Q28"/>
      <c r="R28">
        <v>5</v>
      </c>
      <c r="S28" t="s">
        <v>430</v>
      </c>
      <c r="T28" t="s">
        <v>116</v>
      </c>
      <c r="U28" t="s">
        <v>314</v>
      </c>
      <c r="V28" t="s">
        <v>356</v>
      </c>
      <c r="W28" t="s">
        <v>124</v>
      </c>
      <c r="X28" t="s">
        <v>358</v>
      </c>
      <c r="Y28" t="s">
        <v>431</v>
      </c>
      <c r="Z28" t="s">
        <v>432</v>
      </c>
      <c r="AA28" s="163"/>
      <c r="AB28" s="163"/>
      <c r="AC28" s="163"/>
      <c r="AD28" s="163"/>
      <c r="AE28" s="163"/>
    </row>
    <row r="29" spans="1:31" ht="34.5" customHeight="1" x14ac:dyDescent="0.25">
      <c r="A29" s="164">
        <v>509621847</v>
      </c>
      <c r="B29" s="163">
        <v>7825</v>
      </c>
      <c r="C29" s="163" t="s">
        <v>433</v>
      </c>
      <c r="D29" s="2" t="s">
        <v>434</v>
      </c>
      <c r="E29" s="2">
        <v>46282</v>
      </c>
      <c r="F29" s="163" t="s">
        <v>435</v>
      </c>
      <c r="G29" s="170" t="s">
        <v>116</v>
      </c>
      <c r="H29" s="163" t="s">
        <v>436</v>
      </c>
      <c r="I29" s="163" t="s">
        <v>116</v>
      </c>
      <c r="J29" s="163" t="s">
        <v>116</v>
      </c>
      <c r="K29" s="163"/>
      <c r="L29" s="163"/>
      <c r="M29" s="163"/>
      <c r="N29" s="163"/>
      <c r="O29" s="163" t="s">
        <v>116</v>
      </c>
      <c r="P29" s="163" t="s">
        <v>116</v>
      </c>
      <c r="Q29"/>
      <c r="R29"/>
      <c r="S29" t="s">
        <v>437</v>
      </c>
      <c r="T29" t="s">
        <v>116</v>
      </c>
      <c r="U29" t="s">
        <v>116</v>
      </c>
      <c r="V29" t="s">
        <v>116</v>
      </c>
      <c r="W29" t="s">
        <v>416</v>
      </c>
      <c r="X29" t="s">
        <v>290</v>
      </c>
      <c r="Y29" t="s">
        <v>116</v>
      </c>
      <c r="Z29" t="s">
        <v>438</v>
      </c>
      <c r="AA29" s="163"/>
      <c r="AB29" s="163"/>
      <c r="AC29" s="163"/>
      <c r="AD29" s="163"/>
      <c r="AE29" s="163"/>
    </row>
    <row r="30" spans="1:31" ht="34.5" customHeight="1" x14ac:dyDescent="0.25">
      <c r="A30" s="164">
        <v>11759351</v>
      </c>
      <c r="B30" s="163">
        <v>7826</v>
      </c>
      <c r="C30" s="163" t="s">
        <v>439</v>
      </c>
      <c r="D30" s="2" t="s">
        <v>440</v>
      </c>
      <c r="E30" s="2">
        <v>46281</v>
      </c>
      <c r="F30" s="163" t="s">
        <v>441</v>
      </c>
      <c r="G30" s="170" t="s">
        <v>231</v>
      </c>
      <c r="H30" s="163" t="s">
        <v>116</v>
      </c>
      <c r="I30" s="163" t="s">
        <v>116</v>
      </c>
      <c r="J30" s="163" t="s">
        <v>116</v>
      </c>
      <c r="K30" s="163"/>
      <c r="L30" s="163"/>
      <c r="M30" s="163"/>
      <c r="N30" s="163"/>
      <c r="O30" s="163" t="s">
        <v>116</v>
      </c>
      <c r="P30" s="163" t="s">
        <v>116</v>
      </c>
      <c r="Q30"/>
      <c r="R30">
        <v>4</v>
      </c>
      <c r="S30" t="s">
        <v>442</v>
      </c>
      <c r="T30" t="s">
        <v>443</v>
      </c>
      <c r="U30" t="s">
        <v>322</v>
      </c>
      <c r="V30" t="s">
        <v>444</v>
      </c>
      <c r="W30" t="s">
        <v>445</v>
      </c>
      <c r="X30" t="s">
        <v>271</v>
      </c>
      <c r="Y30" t="s">
        <v>446</v>
      </c>
      <c r="Z30" t="s">
        <v>403</v>
      </c>
      <c r="AA30" s="163"/>
      <c r="AB30" s="163"/>
      <c r="AC30" s="163"/>
      <c r="AD30" s="163"/>
      <c r="AE30" s="163"/>
    </row>
    <row r="31" spans="1:31" ht="38.25" customHeight="1" x14ac:dyDescent="0.25">
      <c r="A31" s="164">
        <v>36630047</v>
      </c>
      <c r="B31" s="163">
        <v>7827</v>
      </c>
      <c r="C31" s="163" t="s">
        <v>447</v>
      </c>
      <c r="D31" s="2" t="s">
        <v>448</v>
      </c>
      <c r="E31" s="2">
        <v>46281</v>
      </c>
      <c r="F31" s="163" t="s">
        <v>449</v>
      </c>
      <c r="G31" s="170" t="s">
        <v>266</v>
      </c>
      <c r="H31" s="163" t="s">
        <v>116</v>
      </c>
      <c r="I31" s="163" t="s">
        <v>116</v>
      </c>
      <c r="J31" s="163" t="s">
        <v>116</v>
      </c>
      <c r="K31" s="163"/>
      <c r="L31" s="163"/>
      <c r="M31" s="163"/>
      <c r="N31" s="163"/>
      <c r="O31" s="163" t="s">
        <v>116</v>
      </c>
      <c r="P31" s="163" t="s">
        <v>450</v>
      </c>
      <c r="Q31"/>
      <c r="R31">
        <v>3</v>
      </c>
      <c r="S31" t="s">
        <v>451</v>
      </c>
      <c r="T31" t="s">
        <v>452</v>
      </c>
      <c r="U31" t="s">
        <v>288</v>
      </c>
      <c r="V31" t="s">
        <v>280</v>
      </c>
      <c r="W31" t="s">
        <v>389</v>
      </c>
      <c r="X31" t="s">
        <v>383</v>
      </c>
      <c r="Y31" t="s">
        <v>453</v>
      </c>
      <c r="Z31" t="s">
        <v>152</v>
      </c>
      <c r="AA31" s="163"/>
      <c r="AB31" s="163"/>
      <c r="AC31" s="163"/>
      <c r="AD31" s="163"/>
      <c r="AE31" s="163"/>
    </row>
    <row r="32" spans="1:31" ht="38.25" customHeight="1" x14ac:dyDescent="0.25">
      <c r="A32" s="164">
        <v>508197188</v>
      </c>
      <c r="B32" s="163">
        <v>7828</v>
      </c>
      <c r="C32" s="163" t="s">
        <v>454</v>
      </c>
      <c r="D32" s="2" t="s">
        <v>455</v>
      </c>
      <c r="E32" s="2">
        <v>46279</v>
      </c>
      <c r="F32" s="163" t="s">
        <v>456</v>
      </c>
      <c r="G32" s="170" t="s">
        <v>231</v>
      </c>
      <c r="H32" s="163" t="s">
        <v>116</v>
      </c>
      <c r="I32" s="163" t="s">
        <v>116</v>
      </c>
      <c r="J32" s="163" t="s">
        <v>116</v>
      </c>
      <c r="K32" s="163"/>
      <c r="L32" s="163"/>
      <c r="M32" s="163"/>
      <c r="N32" s="163"/>
      <c r="O32" s="163" t="s">
        <v>116</v>
      </c>
      <c r="P32" s="163" t="s">
        <v>116</v>
      </c>
      <c r="Q32"/>
      <c r="R32">
        <v>2</v>
      </c>
      <c r="S32" t="s">
        <v>457</v>
      </c>
      <c r="T32" t="s">
        <v>458</v>
      </c>
      <c r="U32" t="s">
        <v>314</v>
      </c>
      <c r="V32" t="s">
        <v>123</v>
      </c>
      <c r="W32" t="s">
        <v>445</v>
      </c>
      <c r="X32" t="s">
        <v>271</v>
      </c>
      <c r="Y32" t="s">
        <v>459</v>
      </c>
      <c r="Z32" t="s">
        <v>460</v>
      </c>
      <c r="AA32" s="163"/>
      <c r="AB32" s="163"/>
      <c r="AC32" s="163"/>
      <c r="AD32" s="163"/>
      <c r="AE32" s="163"/>
    </row>
    <row r="33" spans="1:31" ht="33" customHeight="1" x14ac:dyDescent="0.25">
      <c r="A33" s="164">
        <v>7495939</v>
      </c>
      <c r="B33" s="163">
        <v>7829</v>
      </c>
      <c r="C33" s="163" t="s">
        <v>461</v>
      </c>
      <c r="D33" s="2" t="s">
        <v>462</v>
      </c>
      <c r="E33" s="2">
        <v>46288</v>
      </c>
      <c r="F33" s="163" t="s">
        <v>463</v>
      </c>
      <c r="G33" s="170" t="s">
        <v>266</v>
      </c>
      <c r="H33" s="163" t="s">
        <v>464</v>
      </c>
      <c r="I33" s="163" t="s">
        <v>116</v>
      </c>
      <c r="J33" s="163" t="s">
        <v>116</v>
      </c>
      <c r="K33" s="163"/>
      <c r="L33" s="163"/>
      <c r="M33" s="163"/>
      <c r="N33" s="163"/>
      <c r="O33" s="163" t="s">
        <v>116</v>
      </c>
      <c r="P33" s="163" t="s">
        <v>116</v>
      </c>
      <c r="Q33"/>
      <c r="R33">
        <v>4</v>
      </c>
      <c r="S33" t="s">
        <v>465</v>
      </c>
      <c r="T33" t="s">
        <v>116</v>
      </c>
      <c r="U33" t="s">
        <v>79</v>
      </c>
      <c r="V33" t="s">
        <v>466</v>
      </c>
      <c r="W33" t="s">
        <v>260</v>
      </c>
      <c r="X33" t="s">
        <v>236</v>
      </c>
      <c r="Y33" t="s">
        <v>467</v>
      </c>
      <c r="Z33" t="s">
        <v>317</v>
      </c>
      <c r="AA33" s="163"/>
      <c r="AB33" s="163"/>
      <c r="AC33" s="163"/>
      <c r="AD33" s="163"/>
      <c r="AE33" s="163"/>
    </row>
    <row r="34" spans="1:31" ht="33.75" customHeight="1" x14ac:dyDescent="0.25">
      <c r="A34" s="164">
        <v>14462515</v>
      </c>
      <c r="B34" s="163">
        <v>7830</v>
      </c>
      <c r="C34" s="163" t="s">
        <v>468</v>
      </c>
      <c r="D34" s="2" t="s">
        <v>469</v>
      </c>
      <c r="E34" s="2">
        <v>46281</v>
      </c>
      <c r="F34" s="163" t="s">
        <v>470</v>
      </c>
      <c r="G34" s="170" t="s">
        <v>266</v>
      </c>
      <c r="H34" s="163" t="s">
        <v>116</v>
      </c>
      <c r="I34" s="163" t="s">
        <v>116</v>
      </c>
      <c r="J34" s="163" t="s">
        <v>116</v>
      </c>
      <c r="K34" s="163"/>
      <c r="L34" s="163"/>
      <c r="M34" s="163"/>
      <c r="N34" s="163"/>
      <c r="O34" s="163" t="s">
        <v>116</v>
      </c>
      <c r="P34" s="163" t="s">
        <v>116</v>
      </c>
      <c r="Q34"/>
      <c r="R34">
        <v>10</v>
      </c>
      <c r="S34" t="s">
        <v>471</v>
      </c>
      <c r="T34" t="s">
        <v>116</v>
      </c>
      <c r="U34" t="s">
        <v>134</v>
      </c>
      <c r="V34" t="s">
        <v>235</v>
      </c>
      <c r="W34" t="s">
        <v>357</v>
      </c>
      <c r="X34" t="s">
        <v>282</v>
      </c>
      <c r="Y34" t="s">
        <v>297</v>
      </c>
      <c r="Z34" t="s">
        <v>472</v>
      </c>
      <c r="AA34" s="163"/>
      <c r="AB34" s="163"/>
      <c r="AC34" s="163"/>
      <c r="AD34" s="163"/>
      <c r="AE34" s="163"/>
    </row>
    <row r="35" spans="1:31" ht="34.5" customHeight="1" x14ac:dyDescent="0.25">
      <c r="A35" s="164">
        <v>502212785</v>
      </c>
      <c r="B35" s="163">
        <v>7831</v>
      </c>
      <c r="C35" s="163" t="s">
        <v>473</v>
      </c>
      <c r="D35" s="2" t="s">
        <v>264</v>
      </c>
      <c r="E35" s="2">
        <v>46280</v>
      </c>
      <c r="F35" s="163" t="s">
        <v>265</v>
      </c>
      <c r="G35" s="170" t="s">
        <v>266</v>
      </c>
      <c r="H35" s="163" t="s">
        <v>242</v>
      </c>
      <c r="I35" s="163" t="s">
        <v>116</v>
      </c>
      <c r="J35" s="163" t="s">
        <v>116</v>
      </c>
      <c r="K35" s="163"/>
      <c r="L35" s="163"/>
      <c r="M35" s="163"/>
      <c r="N35" s="163"/>
      <c r="O35" s="163" t="s">
        <v>116</v>
      </c>
      <c r="P35" s="163" t="s">
        <v>116</v>
      </c>
      <c r="Q35"/>
      <c r="R35">
        <v>3</v>
      </c>
      <c r="S35" t="s">
        <v>268</v>
      </c>
      <c r="T35" t="s">
        <v>116</v>
      </c>
      <c r="U35" t="s">
        <v>269</v>
      </c>
      <c r="V35" t="s">
        <v>123</v>
      </c>
      <c r="W35" t="s">
        <v>270</v>
      </c>
      <c r="X35" t="s">
        <v>271</v>
      </c>
      <c r="Y35" t="s">
        <v>151</v>
      </c>
      <c r="Z35" t="s">
        <v>272</v>
      </c>
      <c r="AA35" s="163"/>
      <c r="AB35" s="163"/>
      <c r="AC35" s="163"/>
      <c r="AD35" s="163"/>
      <c r="AE35" s="163"/>
    </row>
    <row r="36" spans="1:31" ht="30" customHeight="1" x14ac:dyDescent="0.25">
      <c r="A36" s="164">
        <v>16180067</v>
      </c>
      <c r="B36" s="163">
        <v>7832</v>
      </c>
      <c r="C36" s="163" t="s">
        <v>474</v>
      </c>
      <c r="D36" s="2" t="s">
        <v>475</v>
      </c>
      <c r="E36" s="2">
        <v>46281</v>
      </c>
      <c r="F36" s="163" t="s">
        <v>476</v>
      </c>
      <c r="G36" s="170" t="s">
        <v>266</v>
      </c>
      <c r="H36" s="163" t="s">
        <v>116</v>
      </c>
      <c r="I36" s="163" t="s">
        <v>116</v>
      </c>
      <c r="J36" s="163" t="s">
        <v>116</v>
      </c>
      <c r="K36" s="163"/>
      <c r="L36" s="163"/>
      <c r="M36" s="163"/>
      <c r="N36" s="163"/>
      <c r="O36" s="163" t="s">
        <v>116</v>
      </c>
      <c r="P36" s="163" t="s">
        <v>116</v>
      </c>
      <c r="Q36"/>
      <c r="R36">
        <v>11</v>
      </c>
      <c r="S36" t="s">
        <v>477</v>
      </c>
      <c r="T36" t="s">
        <v>478</v>
      </c>
      <c r="U36" t="s">
        <v>258</v>
      </c>
      <c r="V36" t="s">
        <v>247</v>
      </c>
      <c r="W36" t="s">
        <v>445</v>
      </c>
      <c r="X36" t="s">
        <v>290</v>
      </c>
      <c r="Y36" t="s">
        <v>479</v>
      </c>
      <c r="Z36" t="s">
        <v>480</v>
      </c>
      <c r="AA36" s="163"/>
      <c r="AB36" s="163"/>
      <c r="AC36" s="163"/>
      <c r="AD36" s="163"/>
      <c r="AE36" s="163"/>
    </row>
    <row r="37" spans="1:31" ht="33.75" customHeight="1" x14ac:dyDescent="0.25">
      <c r="A37" s="164">
        <v>12436769</v>
      </c>
      <c r="B37" s="163">
        <v>7833</v>
      </c>
      <c r="C37" s="163" t="s">
        <v>481</v>
      </c>
      <c r="D37" s="2" t="s">
        <v>208</v>
      </c>
      <c r="E37" s="2">
        <v>46282</v>
      </c>
      <c r="F37" s="163" t="s">
        <v>482</v>
      </c>
      <c r="G37" s="170" t="s">
        <v>231</v>
      </c>
      <c r="H37" s="163" t="s">
        <v>394</v>
      </c>
      <c r="I37" s="163" t="s">
        <v>116</v>
      </c>
      <c r="J37" s="163" t="s">
        <v>116</v>
      </c>
      <c r="K37" s="163"/>
      <c r="L37" s="163"/>
      <c r="M37" s="163"/>
      <c r="N37" s="163"/>
      <c r="O37" s="163" t="s">
        <v>116</v>
      </c>
      <c r="P37" s="163" t="s">
        <v>116</v>
      </c>
      <c r="Q37"/>
      <c r="R37">
        <v>4</v>
      </c>
      <c r="S37" t="s">
        <v>483</v>
      </c>
      <c r="T37" t="s">
        <v>116</v>
      </c>
      <c r="U37" t="s">
        <v>79</v>
      </c>
      <c r="V37" t="s">
        <v>315</v>
      </c>
      <c r="W37" t="s">
        <v>281</v>
      </c>
      <c r="X37" t="s">
        <v>150</v>
      </c>
      <c r="Y37" t="s">
        <v>484</v>
      </c>
      <c r="Z37" t="s">
        <v>418</v>
      </c>
      <c r="AA37" s="163"/>
      <c r="AB37" s="163"/>
      <c r="AC37" s="163"/>
      <c r="AD37" s="163"/>
      <c r="AE37" s="163"/>
    </row>
    <row r="38" spans="1:31" ht="30.75" customHeight="1" x14ac:dyDescent="0.25">
      <c r="A38" s="164">
        <v>9878684</v>
      </c>
      <c r="B38" s="163">
        <v>7834</v>
      </c>
      <c r="C38" s="163" t="s">
        <v>485</v>
      </c>
      <c r="D38" s="2" t="s">
        <v>273</v>
      </c>
      <c r="E38" s="2">
        <v>46280</v>
      </c>
      <c r="F38" s="163" t="s">
        <v>274</v>
      </c>
      <c r="G38" s="170" t="s">
        <v>275</v>
      </c>
      <c r="H38" s="163" t="s">
        <v>276</v>
      </c>
      <c r="I38" s="163" t="s">
        <v>116</v>
      </c>
      <c r="J38" s="163" t="s">
        <v>116</v>
      </c>
      <c r="K38" s="163"/>
      <c r="L38" s="163"/>
      <c r="M38" s="163"/>
      <c r="N38" s="163"/>
      <c r="O38" s="163" t="s">
        <v>116</v>
      </c>
      <c r="P38" s="163" t="s">
        <v>116</v>
      </c>
      <c r="Q38"/>
      <c r="R38">
        <v>4</v>
      </c>
      <c r="S38" t="s">
        <v>277</v>
      </c>
      <c r="T38" t="s">
        <v>278</v>
      </c>
      <c r="U38" t="s">
        <v>279</v>
      </c>
      <c r="V38" t="s">
        <v>280</v>
      </c>
      <c r="W38" t="s">
        <v>281</v>
      </c>
      <c r="X38" t="s">
        <v>282</v>
      </c>
      <c r="Y38" t="s">
        <v>283</v>
      </c>
      <c r="Z38" t="s">
        <v>284</v>
      </c>
      <c r="AA38" s="163"/>
      <c r="AB38" s="163"/>
      <c r="AC38" s="163"/>
      <c r="AD38" s="163"/>
      <c r="AE38" s="163"/>
    </row>
    <row r="39" spans="1:31" ht="36" customHeight="1" x14ac:dyDescent="0.25">
      <c r="A39" s="164">
        <v>13375971</v>
      </c>
      <c r="B39" s="163">
        <v>7835</v>
      </c>
      <c r="C39" s="163" t="s">
        <v>486</v>
      </c>
      <c r="D39" s="2" t="s">
        <v>487</v>
      </c>
      <c r="E39" s="2">
        <v>46278</v>
      </c>
      <c r="F39" s="163" t="s">
        <v>488</v>
      </c>
      <c r="G39" s="170" t="s">
        <v>231</v>
      </c>
      <c r="H39" s="163" t="s">
        <v>116</v>
      </c>
      <c r="I39" s="163" t="s">
        <v>116</v>
      </c>
      <c r="J39" s="163" t="s">
        <v>116</v>
      </c>
      <c r="K39" s="163"/>
      <c r="L39" s="163"/>
      <c r="M39" s="163"/>
      <c r="N39" s="163"/>
      <c r="O39" s="163" t="s">
        <v>116</v>
      </c>
      <c r="P39" s="163" t="s">
        <v>116</v>
      </c>
      <c r="Q39"/>
      <c r="R39">
        <v>2</v>
      </c>
      <c r="S39" t="s">
        <v>489</v>
      </c>
      <c r="T39" t="s">
        <v>490</v>
      </c>
      <c r="U39" t="s">
        <v>415</v>
      </c>
      <c r="V39" t="s">
        <v>315</v>
      </c>
      <c r="W39" t="s">
        <v>491</v>
      </c>
      <c r="X39" t="s">
        <v>282</v>
      </c>
      <c r="Y39" t="s">
        <v>492</v>
      </c>
      <c r="Z39" t="s">
        <v>238</v>
      </c>
      <c r="AA39" s="163"/>
      <c r="AB39" s="163"/>
      <c r="AC39" s="163"/>
      <c r="AD39" s="163"/>
      <c r="AE39" s="163"/>
    </row>
    <row r="40" spans="1:31" ht="40.5" customHeight="1" x14ac:dyDescent="0.25">
      <c r="A40" s="164">
        <v>13267389</v>
      </c>
      <c r="B40" s="163">
        <v>7836</v>
      </c>
      <c r="C40" s="163"/>
      <c r="D40" s="2" t="s">
        <v>285</v>
      </c>
      <c r="E40" s="2">
        <v>46280</v>
      </c>
      <c r="F40" s="163" t="s">
        <v>286</v>
      </c>
      <c r="G40" s="170" t="s">
        <v>240</v>
      </c>
      <c r="H40" s="163" t="s">
        <v>116</v>
      </c>
      <c r="I40" s="163" t="s">
        <v>116</v>
      </c>
      <c r="J40" s="163" t="s">
        <v>116</v>
      </c>
      <c r="K40" s="163"/>
      <c r="L40" s="163"/>
      <c r="M40" s="163"/>
      <c r="N40" s="163"/>
      <c r="O40" s="163" t="s">
        <v>116</v>
      </c>
      <c r="P40" s="163" t="s">
        <v>116</v>
      </c>
      <c r="Q40"/>
      <c r="R40">
        <v>8</v>
      </c>
      <c r="S40" t="s">
        <v>287</v>
      </c>
      <c r="T40" t="s">
        <v>116</v>
      </c>
      <c r="U40" t="s">
        <v>288</v>
      </c>
      <c r="V40" t="s">
        <v>247</v>
      </c>
      <c r="W40" t="s">
        <v>289</v>
      </c>
      <c r="X40" t="s">
        <v>290</v>
      </c>
      <c r="Y40" t="s">
        <v>126</v>
      </c>
      <c r="Z40" t="s">
        <v>291</v>
      </c>
      <c r="AA40" s="163"/>
      <c r="AB40" s="163"/>
      <c r="AC40" s="163"/>
      <c r="AD40" s="163"/>
      <c r="AE40" s="163"/>
    </row>
    <row r="41" spans="1:31" ht="32.25" customHeight="1" x14ac:dyDescent="0.25">
      <c r="A41" s="164">
        <v>13322862</v>
      </c>
      <c r="B41" s="163">
        <v>7837</v>
      </c>
      <c r="C41" s="163"/>
      <c r="D41" s="2" t="s">
        <v>292</v>
      </c>
      <c r="E41" s="2">
        <v>46280</v>
      </c>
      <c r="F41" s="163" t="s">
        <v>293</v>
      </c>
      <c r="G41" s="170" t="s">
        <v>266</v>
      </c>
      <c r="H41" s="163" t="s">
        <v>294</v>
      </c>
      <c r="I41" s="163" t="s">
        <v>116</v>
      </c>
      <c r="J41" s="163" t="s">
        <v>116</v>
      </c>
      <c r="K41" s="163"/>
      <c r="L41" s="163"/>
      <c r="M41" s="163"/>
      <c r="N41" s="163"/>
      <c r="O41" s="163" t="s">
        <v>116</v>
      </c>
      <c r="P41" s="163" t="s">
        <v>116</v>
      </c>
      <c r="Q41"/>
      <c r="R41">
        <v>3</v>
      </c>
      <c r="S41" t="s">
        <v>295</v>
      </c>
      <c r="T41" t="s">
        <v>116</v>
      </c>
      <c r="U41" t="s">
        <v>212</v>
      </c>
      <c r="V41" t="s">
        <v>123</v>
      </c>
      <c r="W41" t="s">
        <v>296</v>
      </c>
      <c r="X41" t="s">
        <v>271</v>
      </c>
      <c r="Y41" t="s">
        <v>297</v>
      </c>
      <c r="Z41" t="s">
        <v>152</v>
      </c>
      <c r="AA41" s="163"/>
      <c r="AB41" s="163"/>
      <c r="AC41" s="163"/>
      <c r="AD41" s="163"/>
      <c r="AE41" s="163"/>
    </row>
    <row r="42" spans="1:31" ht="30.75" customHeight="1" x14ac:dyDescent="0.25">
      <c r="A42" s="164">
        <v>18226260</v>
      </c>
      <c r="B42" s="163">
        <v>7838</v>
      </c>
      <c r="C42" s="163"/>
      <c r="D42" s="2" t="s">
        <v>493</v>
      </c>
      <c r="F42" s="163" t="s">
        <v>116</v>
      </c>
      <c r="G42" s="170" t="s">
        <v>116</v>
      </c>
      <c r="H42" s="163" t="s">
        <v>116</v>
      </c>
      <c r="I42" s="163" t="s">
        <v>116</v>
      </c>
      <c r="J42" s="163" t="s">
        <v>116</v>
      </c>
      <c r="K42" s="163"/>
      <c r="L42" s="163"/>
      <c r="M42" s="163"/>
      <c r="N42" s="163"/>
      <c r="O42" s="163" t="s">
        <v>116</v>
      </c>
      <c r="P42" s="163" t="s">
        <v>116</v>
      </c>
      <c r="Q42"/>
      <c r="R42"/>
      <c r="S42" t="s">
        <v>116</v>
      </c>
      <c r="T42" t="s">
        <v>116</v>
      </c>
      <c r="U42" t="s">
        <v>116</v>
      </c>
      <c r="V42" t="s">
        <v>116</v>
      </c>
      <c r="W42" t="s">
        <v>116</v>
      </c>
      <c r="X42" t="s">
        <v>116</v>
      </c>
      <c r="Y42" t="s">
        <v>116</v>
      </c>
      <c r="Z42" t="s">
        <v>116</v>
      </c>
      <c r="AA42" s="163"/>
      <c r="AB42" s="163"/>
      <c r="AC42" s="163"/>
      <c r="AD42" s="163"/>
      <c r="AE42" s="163"/>
    </row>
    <row r="43" spans="1:31" ht="36.75" customHeight="1" x14ac:dyDescent="0.25">
      <c r="A43" s="164">
        <v>508768862</v>
      </c>
      <c r="B43" s="163">
        <v>7839</v>
      </c>
      <c r="C43" s="163"/>
      <c r="D43" s="2" t="s">
        <v>494</v>
      </c>
      <c r="E43" s="2">
        <v>46282</v>
      </c>
      <c r="F43" s="163" t="s">
        <v>495</v>
      </c>
      <c r="G43" s="170" t="s">
        <v>231</v>
      </c>
      <c r="H43" s="163" t="s">
        <v>116</v>
      </c>
      <c r="I43" s="163" t="s">
        <v>116</v>
      </c>
      <c r="J43" s="163" t="s">
        <v>116</v>
      </c>
      <c r="K43" s="163"/>
      <c r="L43" s="163"/>
      <c r="M43" s="163"/>
      <c r="N43" s="163"/>
      <c r="O43" s="163" t="s">
        <v>116</v>
      </c>
      <c r="P43" s="163" t="s">
        <v>116</v>
      </c>
      <c r="Q43"/>
      <c r="R43">
        <v>26</v>
      </c>
      <c r="S43" t="s">
        <v>496</v>
      </c>
      <c r="T43" t="s">
        <v>116</v>
      </c>
      <c r="U43" t="s">
        <v>212</v>
      </c>
      <c r="V43" t="s">
        <v>235</v>
      </c>
      <c r="W43" t="s">
        <v>357</v>
      </c>
      <c r="X43" t="s">
        <v>271</v>
      </c>
      <c r="Y43" t="s">
        <v>497</v>
      </c>
      <c r="Z43" t="s">
        <v>332</v>
      </c>
      <c r="AA43" s="163"/>
      <c r="AB43" s="163"/>
      <c r="AC43" s="163"/>
      <c r="AD43" s="163"/>
      <c r="AE43" s="163"/>
    </row>
    <row r="44" spans="1:31" ht="32.25" customHeight="1" x14ac:dyDescent="0.25">
      <c r="A44" s="173">
        <v>36573189</v>
      </c>
      <c r="B44" s="171">
        <v>7840</v>
      </c>
      <c r="C44" s="171" t="s">
        <v>498</v>
      </c>
      <c r="D44" s="2" t="s">
        <v>499</v>
      </c>
      <c r="E44" s="2">
        <v>46281</v>
      </c>
      <c r="F44" s="171" t="s">
        <v>500</v>
      </c>
      <c r="G44" s="174" t="s">
        <v>266</v>
      </c>
      <c r="H44" s="171" t="s">
        <v>116</v>
      </c>
      <c r="I44" s="171" t="s">
        <v>116</v>
      </c>
      <c r="J44" s="171" t="s">
        <v>116</v>
      </c>
      <c r="K44" s="171"/>
      <c r="L44" s="171"/>
      <c r="M44" s="171"/>
      <c r="N44" s="171"/>
      <c r="O44" s="171" t="s">
        <v>116</v>
      </c>
      <c r="P44" s="171" t="s">
        <v>116</v>
      </c>
      <c r="Q44"/>
      <c r="R44">
        <v>9</v>
      </c>
      <c r="S44" t="s">
        <v>501</v>
      </c>
      <c r="T44" t="s">
        <v>502</v>
      </c>
      <c r="U44" t="s">
        <v>212</v>
      </c>
      <c r="V44" t="s">
        <v>503</v>
      </c>
      <c r="W44" t="s">
        <v>124</v>
      </c>
      <c r="X44" t="s">
        <v>271</v>
      </c>
      <c r="Y44" t="s">
        <v>342</v>
      </c>
      <c r="Z44" t="s">
        <v>127</v>
      </c>
      <c r="AA44" s="171"/>
      <c r="AB44" s="171"/>
      <c r="AC44" s="171"/>
      <c r="AD44" s="171"/>
      <c r="AE44" s="171"/>
    </row>
    <row r="45" spans="1:31" ht="30.75" customHeight="1" x14ac:dyDescent="0.25"/>
    <row r="46" spans="1:31" ht="27" customHeight="1" x14ac:dyDescent="0.25"/>
  </sheetData>
  <mergeCells count="3">
    <mergeCell ref="A1:I1"/>
    <mergeCell ref="C2:I2"/>
    <mergeCell ref="A3:I3"/>
  </mergeCells>
  <phoneticPr fontId="4" type="noConversion"/>
  <conditionalFormatting sqref="I45:I1048576 G4:G44">
    <cfRule type="timePeriod" dxfId="1" priority="2" timePeriod="today">
      <formula>FLOOR(G4,1)=TODAY()</formula>
    </cfRule>
  </conditionalFormatting>
  <conditionalFormatting sqref="H45:H1048576 I4:I44">
    <cfRule type="containsBlanks" dxfId="0" priority="1">
      <formula>LEN(TRIM(H4))=0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1054844-e067-4d07-bb00-ed76c9106309">
      <UserInfo>
        <DisplayName>Group - GT7 admin Members</DisplayName>
        <AccountId>148</AccountId>
        <AccountType/>
      </UserInfo>
      <UserInfo>
        <DisplayName>Group - GT7 Charge group Members</DisplayName>
        <AccountId>138</AccountId>
        <AccountType/>
      </UserInfo>
      <UserInfo>
        <DisplayName>McCranie, Matthew</DisplayName>
        <AccountId>119</AccountId>
        <AccountType/>
      </UserInfo>
      <UserInfo>
        <DisplayName>Thomas, Ria</DisplayName>
        <AccountId>193</AccountId>
        <AccountType/>
      </UserInfo>
      <UserInfo>
        <DisplayName>Aldana-Gamba, Nathaly</DisplayName>
        <AccountId>191</AccountId>
        <AccountType/>
      </UserInfo>
      <UserInfo>
        <DisplayName>Taylor, Joanna</DisplayName>
        <AccountId>192</AccountId>
        <AccountType/>
      </UserInfo>
      <UserInfo>
        <DisplayName>Hidalgo, Jorge</DisplayName>
        <AccountId>190</AccountId>
        <AccountType/>
      </UserInfo>
      <UserInfo>
        <DisplayName>Mikell, Victoria</DisplayName>
        <AccountId>216</AccountId>
        <AccountType/>
      </UserInfo>
      <UserInfo>
        <DisplayName>Maldonado, Angela</DisplayName>
        <AccountId>208</AccountId>
        <AccountType/>
      </UserInfo>
      <UserInfo>
        <DisplayName>Sha, Yue</DisplayName>
        <AccountId>234</AccountId>
        <AccountType/>
      </UserInfo>
    </SharedWithUsers>
    <lcf76f155ced4ddcb4097134ff3c332f xmlns="f430c1b0-620b-474d-8fc6-d9e9e95b0b12">
      <Terms xmlns="http://schemas.microsoft.com/office/infopath/2007/PartnerControls"/>
    </lcf76f155ced4ddcb4097134ff3c332f>
    <TaxCatchAll xmlns="fc7a3a96-1994-4234-a628-0adf8ab2a685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A3134C4512AC41B51E9EEEB3DC1599" ma:contentTypeVersion="20" ma:contentTypeDescription="Create a new document." ma:contentTypeScope="" ma:versionID="32df8db6af73d235c0c8a22fb6721fb2">
  <xsd:schema xmlns:xsd="http://www.w3.org/2001/XMLSchema" xmlns:xs="http://www.w3.org/2001/XMLSchema" xmlns:p="http://schemas.microsoft.com/office/2006/metadata/properties" xmlns:ns1="http://schemas.microsoft.com/sharepoint/v3" xmlns:ns2="f430c1b0-620b-474d-8fc6-d9e9e95b0b12" xmlns:ns3="a1054844-e067-4d07-bb00-ed76c9106309" xmlns:ns4="fc7a3a96-1994-4234-a628-0adf8ab2a685" targetNamespace="http://schemas.microsoft.com/office/2006/metadata/properties" ma:root="true" ma:fieldsID="3261e464dd9e2d0b661f4dddb588adc0" ns1:_="" ns2:_="" ns3:_="" ns4:_="">
    <xsd:import namespace="http://schemas.microsoft.com/sharepoint/v3"/>
    <xsd:import namespace="f430c1b0-620b-474d-8fc6-d9e9e95b0b12"/>
    <xsd:import namespace="a1054844-e067-4d07-bb00-ed76c9106309"/>
    <xsd:import namespace="fc7a3a96-1994-4234-a628-0adf8ab2a6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SearchProperties" minOccurs="0"/>
                <xsd:element ref="ns2:MediaServiceObjectDetectorVersions" minOccurs="0"/>
                <xsd:element ref="ns2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0c1b0-620b-474d-8fc6-d9e9e95b0b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b396e9a7-f412-4ff8-89ff-8e3dcd6cfb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054844-e067-4d07-bb00-ed76c910630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3a96-1994-4234-a628-0adf8ab2a68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5ffdd46-5f2f-40d5-a581-6eeb34142f13}" ma:internalName="TaxCatchAll" ma:showField="CatchAllData" ma:web="a1054844-e067-4d07-bb00-ed76c91063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1CCE58B-60E5-4963-AA3A-5D660B0C2A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D3908-6542-46F5-B9EC-19E5227B56AC}">
  <ds:schemaRefs>
    <ds:schemaRef ds:uri="http://purl.org/dc/terms/"/>
    <ds:schemaRef ds:uri="f430c1b0-620b-474d-8fc6-d9e9e95b0b12"/>
    <ds:schemaRef ds:uri="http://schemas.microsoft.com/sharepoint/v3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fc7a3a96-1994-4234-a628-0adf8ab2a685"/>
    <ds:schemaRef ds:uri="a1054844-e067-4d07-bb00-ed76c9106309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4009917-3087-485D-9F1B-425D9164A5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430c1b0-620b-474d-8fc6-d9e9e95b0b12"/>
    <ds:schemaRef ds:uri="a1054844-e067-4d07-bb00-ed76c9106309"/>
    <ds:schemaRef ds:uri="fc7a3a96-1994-4234-a628-0adf8ab2a6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171C23C-5E6A-4717-B0A3-E1DF130DC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SURGIFLOW EOSR</vt:lpstr>
      <vt:lpstr>SURGIFLOW  VAD AUDIT</vt:lpstr>
      <vt:lpstr>CAUTI-CLABSI</vt:lpstr>
      <vt:lpstr>SURGIFLOW GT7 DC LIST</vt:lpstr>
      <vt:lpstr>NEW SURGIFLOW GT7 UNITGUIDE</vt:lpstr>
      <vt:lpstr>'CAUTI-CLABSI'!Print_Area</vt:lpstr>
      <vt:lpstr>'SURGIFLOW EOSR'!Print_Area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Stanbro, Rachel</dc:creator>
  <cp:keywords/>
  <dc:description/>
  <cp:lastModifiedBy>Moyer, Ted</cp:lastModifiedBy>
  <cp:revision/>
  <dcterms:created xsi:type="dcterms:W3CDTF">2018-03-21T15:49:06Z</dcterms:created>
  <dcterms:modified xsi:type="dcterms:W3CDTF">2026-09-16T06:01:25Z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0x01010043A3134C4512AC41B51E9EEEB3DC1599</vt:lpwstr>
  </property>
  <property fmtid="{D5CDD505-2E9C-101B-9397-08002B2CF9AE}" pid="3" name="MediaServiceImageTags">
    <vt:lpwstr/>
  </property>
</Properties>
</file>