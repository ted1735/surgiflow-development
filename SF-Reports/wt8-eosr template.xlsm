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emf" ContentType="image/x-emf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tables/table5.xml" ContentType="application/vnd.openxmlformats-officedocument.spreadsheetml.table+xml"/>
  <Override PartName="/xl/queryTables/queryTable3.xml" ContentType="application/vnd.openxmlformats-officedocument.spreadsheetml.query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thumbnail" Target="docProps/thumbnail.emf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hsonline-my.sharepoint.com/personal/tjm254_multihosp_net/Documents/aaReadmissions/projects/surgiflow-DEV/SF-Reports/"/>
    </mc:Choice>
  </mc:AlternateContent>
  <xr:revisionPtr revIDLastSave="28" documentId="8_{9AECBFC8-AA4C-48EF-80CA-5678D8AB0E20}" xr6:coauthVersionLast="47" xr6:coauthVersionMax="47" xr10:uidLastSave="{AA166023-7C7E-4095-9EE3-2F4D37714BF0}"/>
  <bookViews>
    <workbookView xWindow="-120" yWindow="-120" windowWidth="29040" windowHeight="15720" tabRatio="829" firstSheet="1" activeTab="1" xr2:uid="{B971CFE1-068B-4822-9551-25832483B2ED}"/>
  </bookViews>
  <sheets>
    <sheet name="POCT Unit Guide NEWv2" sheetId="31" state="hidden" r:id="rId1"/>
    <sheet name="EOSR 2.0" sheetId="48" r:id="rId2"/>
    <sheet name="Unit Guide" sheetId="20" r:id="rId3"/>
    <sheet name="EOSR" sheetId="3" r:id="rId4"/>
    <sheet name="CAUTI-CLABSI" sheetId="4" r:id="rId5"/>
    <sheet name="DCv5" sheetId="38" r:id="rId6"/>
    <sheet name="UNITGUIDE" sheetId="37" r:id="rId7"/>
    <sheet name="DATA LISTS - DO NOT DELETE" sheetId="5" r:id="rId8"/>
  </sheets>
  <externalReferences>
    <externalReference r:id="rId9"/>
    <externalReference r:id="rId10"/>
  </externalReferences>
  <definedNames>
    <definedName name="______________ACT1">#REF!</definedName>
    <definedName name="______________ACT2">#REF!</definedName>
    <definedName name="______________ACT3">#REF!</definedName>
    <definedName name="_____________ACT1">#REF!</definedName>
    <definedName name="_____________ACT2">#REF!</definedName>
    <definedName name="_____________ACT3">#REF!</definedName>
    <definedName name="____________ACT1">#REF!</definedName>
    <definedName name="____________ACT2">#REF!</definedName>
    <definedName name="____________ACT3">#REF!</definedName>
    <definedName name="___________ACT1">#REF!</definedName>
    <definedName name="___________ACT2">#REF!</definedName>
    <definedName name="___________ACT3">#REF!</definedName>
    <definedName name="__________ACT1">#REF!</definedName>
    <definedName name="__________ACT2">#REF!</definedName>
    <definedName name="__________ACT3">#REF!</definedName>
    <definedName name="_________ACT1">#REF!</definedName>
    <definedName name="_________ACT2">#REF!</definedName>
    <definedName name="_________ACT3">#REF!</definedName>
    <definedName name="________ACT1">#REF!</definedName>
    <definedName name="________ACT2">#REF!</definedName>
    <definedName name="________ACT3">#REF!</definedName>
    <definedName name="_______ACT1">#REF!</definedName>
    <definedName name="_______ACT2">#REF!</definedName>
    <definedName name="_______ACT3">#REF!</definedName>
    <definedName name="______ACT1">#REF!</definedName>
    <definedName name="______ACT2">#REF!</definedName>
    <definedName name="______ACT3">#REF!</definedName>
    <definedName name="_____ACT1">#REF!</definedName>
    <definedName name="_____ACT2">#REF!</definedName>
    <definedName name="_____ACT3">#REF!</definedName>
    <definedName name="____ACT1">#REF!</definedName>
    <definedName name="____ACT2">#REF!</definedName>
    <definedName name="____ACT3">#REF!</definedName>
    <definedName name="___ACT1">#REF!</definedName>
    <definedName name="___ACT2">#REF!</definedName>
    <definedName name="___ACT3">#REF!</definedName>
    <definedName name="__ACT1">#REF!</definedName>
    <definedName name="__ACT2">#REF!</definedName>
    <definedName name="__ACT3">#REF!</definedName>
    <definedName name="_11_10_2015" localSheetId="7">#REF!</definedName>
    <definedName name="_11_10_2015">#REF!</definedName>
    <definedName name="_ACT1">#REF!</definedName>
    <definedName name="_ACT2">#REF!</definedName>
    <definedName name="_ACT3">#REF!</definedName>
    <definedName name="_AtRisk_SimSetting_AutomaticallyGenerateReports" hidden="1">FALSE</definedName>
    <definedName name="_AtRisk_SimSetting_AutomaticResultsDisplayMode" hidden="1">0</definedName>
    <definedName name="_AtRisk_SimSetting_ConvergenceConfidenceLevel" hidden="1">0.95</definedName>
    <definedName name="_AtRisk_SimSetting_ConvergencePercentileToTest" hidden="1">0.9</definedName>
    <definedName name="_AtRisk_SimSetting_ConvergencePerformMeanTest" hidden="1">TRUE</definedName>
    <definedName name="_AtRisk_SimSetting_ConvergencePerformPercentileTest" hidden="1">FALSE</definedName>
    <definedName name="_AtRisk_SimSetting_ConvergencePerformStdDeviationTest" hidden="1">FALSE</definedName>
    <definedName name="_AtRisk_SimSetting_ConvergenceTestAllOutputs" hidden="1">TRUE</definedName>
    <definedName name="_AtRisk_SimSetting_ConvergenceTestingPeriod" hidden="1">100</definedName>
    <definedName name="_AtRisk_SimSetting_ConvergenceTolerance" hidden="1">0.03</definedName>
    <definedName name="_AtRisk_SimSetting_LiveUpdate" hidden="1">TRUE</definedName>
    <definedName name="_AtRisk_SimSetting_LiveUpdatePeriod" hidden="1">-1</definedName>
    <definedName name="_AtRisk_SimSetting_RandomNumberGenerator" hidden="1">0</definedName>
    <definedName name="_AtRisk_SimSetting_ReportsList" hidden="1">0</definedName>
    <definedName name="_AtRisk_SimSetting_SimNameCount" hidden="1">0</definedName>
    <definedName name="_AtRisk_SimSetting_SmartSensitivityAnalysisEnabled" hidden="1">TRUE</definedName>
    <definedName name="_AtRisk_SimSetting_StatisticFunctionUpdating" hidden="1">1</definedName>
    <definedName name="_AtRisk_SimSetting_StdRecalcBehavior" hidden="1">0</definedName>
    <definedName name="_AtRisk_SimSetting_StdRecalcWithoutRiskStatic" hidden="1">0</definedName>
    <definedName name="_AtRisk_SimSetting_StdRecalcWithoutRiskStaticPercentile" hidden="1">0.5</definedName>
    <definedName name="_xlnm._FilterDatabase" localSheetId="3" hidden="1">EOSR!$B$2:$G$28</definedName>
    <definedName name="_Order1" hidden="1">255</definedName>
    <definedName name="_Order2" hidden="1">255</definedName>
    <definedName name="_xleta.N" hidden="1" xlm="1">#NAME?</definedName>
    <definedName name="_xleta.TODAY" hidden="1" xlm="1">#NAME?</definedName>
    <definedName name="a" localSheetId="7">#REF!</definedName>
    <definedName name="a">#REF!</definedName>
    <definedName name="a0" localSheetId="7">#REF!</definedName>
    <definedName name="a0">#REF!</definedName>
    <definedName name="AAA" localSheetId="7">#REF!</definedName>
    <definedName name="AAA">#REF!</definedName>
    <definedName name="ACCT">#REF!</definedName>
    <definedName name="ACCT.classifier">#REF!</definedName>
    <definedName name="ACT_CUR">#REF!</definedName>
    <definedName name="ACT_YTD">#REF!</definedName>
    <definedName name="Alt">#REF!</definedName>
    <definedName name="AltReportSheet">#REF!</definedName>
    <definedName name="Apk">#REF!</definedName>
    <definedName name="apopka" localSheetId="7">#REF!</definedName>
    <definedName name="apopka">#REF!</definedName>
    <definedName name="AVGRATE">#REF!</definedName>
    <definedName name="b">#REF!</definedName>
    <definedName name="BUD_CUR">#REF!</definedName>
    <definedName name="BUD_YTD">#REF!</definedName>
    <definedName name="campous">#REF!</definedName>
    <definedName name="Campus">#REF!</definedName>
    <definedName name="Campuses">#REF!</definedName>
    <definedName name="CampuswChildrens">#REF!</definedName>
    <definedName name="Capital">#REF!</definedName>
    <definedName name="CC">#REF!</definedName>
    <definedName name="ccn">#REF!</definedName>
    <definedName name="cel">#REF!</definedName>
    <definedName name="CENSUS">'[1]2290'!#REF!</definedName>
    <definedName name="colgroup">#REF!</definedName>
    <definedName name="colsegment">#REF!</definedName>
    <definedName name="contract">#REF!</definedName>
    <definedName name="DACTmp" hidden="1">{"add",#N/A,FALSE,"code"}</definedName>
    <definedName name="Date">#REF!</definedName>
    <definedName name="DEPT">#REF!</definedName>
    <definedName name="dollars">#REF!</definedName>
    <definedName name="drlFilter">#REF!</definedName>
    <definedName name="Drugs">#REF!</definedName>
    <definedName name="East">#REF!</definedName>
    <definedName name="EBDIT1">#REF!</definedName>
    <definedName name="EBDIT2">#REF!</definedName>
    <definedName name="EBDIT3">#REF!</definedName>
    <definedName name="EBDIT4">#REF!</definedName>
    <definedName name="EBDIT5">#REF!</definedName>
    <definedName name="EmpBen">#REF!</definedName>
    <definedName name="End">#REF!</definedName>
    <definedName name="ExcludeExpenses">#REF!</definedName>
    <definedName name="ExpCrit">#REF!</definedName>
    <definedName name="ExternalData_1" localSheetId="5" hidden="1">'DCv5'!$A$2:$K$11</definedName>
    <definedName name="ExternalData_1" localSheetId="6" hidden="1">UNITGUIDE!$A$3:$J$36</definedName>
    <definedName name="ExternalData_3" localSheetId="5" hidden="1">'DCv5'!$A$40:$F$46</definedName>
    <definedName name="FDCH">#REF!</definedName>
    <definedName name="FDS">#REF!</definedName>
    <definedName name="fgfdg" localSheetId="7">#REF!</definedName>
    <definedName name="fgfdg">#REF!</definedName>
    <definedName name="filter">#REF!</definedName>
    <definedName name="FixedLabor">#REF!</definedName>
    <definedName name="FixMedSup">#REF!</definedName>
    <definedName name="FixOtherExp">#REF!</definedName>
    <definedName name="FL">#REF!</definedName>
    <definedName name="Hours">#REF!</definedName>
    <definedName name="hrscheck">#REF!</definedName>
    <definedName name="ipvolact">#REF!</definedName>
    <definedName name="K">#REF!</definedName>
    <definedName name="Ksm">#REF!</definedName>
    <definedName name="Labor">#REF!</definedName>
    <definedName name="manvolact">#REF!</definedName>
    <definedName name="master_def" localSheetId="7">#REF!</definedName>
    <definedName name="master_def">#REF!</definedName>
    <definedName name="medadult">#REF!</definedName>
    <definedName name="medpeds">#REF!</definedName>
    <definedName name="MedSup">#REF!</definedName>
    <definedName name="MetaSet">#REF!</definedName>
    <definedName name="MonthlyVolumeSpread">#REF!</definedName>
    <definedName name="new" localSheetId="7">#REF!</definedName>
    <definedName name="new">#REF!</definedName>
    <definedName name="NonMedSup">#REF!</definedName>
    <definedName name="NvsEndTime">43153.4766782407</definedName>
    <definedName name="NvsReqBUOnly">"VY"</definedName>
    <definedName name="old" localSheetId="7">#REF!</definedName>
    <definedName name="old">#REF!</definedName>
    <definedName name="opvolact">#REF!</definedName>
    <definedName name="OtherSupplies">#REF!</definedName>
    <definedName name="OthExp">#REF!</definedName>
    <definedName name="page\x2dtotal">#REF!</definedName>
    <definedName name="page\x2dtotal\x2dmaster0">#REF!</definedName>
    <definedName name="PDO">#REF!</definedName>
    <definedName name="primtbl">#REF!</definedName>
    <definedName name="_xlnm.Print_Area" localSheetId="4">'CAUTI-CLABSI'!$B$4:$H$5</definedName>
    <definedName name="_xlnm.Print_Area" localSheetId="3">EOSR!$B$1:$G$28</definedName>
    <definedName name="_xlnm.Print_Area" localSheetId="0">#REF!</definedName>
    <definedName name="_xlnm.Print_Area" localSheetId="2">'Unit Guide'!$A$1:$I$41</definedName>
    <definedName name="Print_Area_MI" localSheetId="7">#REF!</definedName>
    <definedName name="Print_Area_MI">#REF!</definedName>
    <definedName name="Print_Titles_MI" localSheetId="7">#REF!</definedName>
    <definedName name="Print_Titles_MI">#REF!</definedName>
    <definedName name="qLeftOut" localSheetId="7">#REF!</definedName>
    <definedName name="qLeftOut">#REF!</definedName>
    <definedName name="query__9" localSheetId="0" hidden="1">'POCT Unit Guide NEWv2'!$A$1:$AB$34</definedName>
    <definedName name="qVolumeList" localSheetId="7">#REF!</definedName>
    <definedName name="qVolumeList">#REF!</definedName>
    <definedName name="rate">#REF!</definedName>
    <definedName name="report_type">#REF!</definedName>
    <definedName name="ReportVersion">#REF!</definedName>
    <definedName name="RevCrit">#REF!</definedName>
    <definedName name="RiskAfterRecalcMacro" hidden="1">""</definedName>
    <definedName name="RiskAfterSimMacro" hidden="1">""</definedName>
    <definedName name="riskATSSboxGraph" hidden="1">FALSE</definedName>
    <definedName name="riskATSSincludeSimtables" hidden="1">TRUE</definedName>
    <definedName name="riskATSSinputsGraphs" hidden="1">FALSE</definedName>
    <definedName name="riskATSSoutputStatistic" hidden="1">3</definedName>
    <definedName name="riskATSSpercentChangeGraph" hidden="1">TRUE</definedName>
    <definedName name="riskATSSpercentileGraph" hidden="1">TRUE</definedName>
    <definedName name="riskATSSpercentileValue" hidden="1">0.5</definedName>
    <definedName name="riskATSSprintReport" hidden="1">FALSE</definedName>
    <definedName name="riskATSSreportsInActiveBook" hidden="1">FALSE</definedName>
    <definedName name="riskATSSreportsSelected" hidden="1">TRUE</definedName>
    <definedName name="riskATSSsummaryReport" hidden="1">TRUE</definedName>
    <definedName name="riskATSStornadoGraph" hidden="1">TRUE</definedName>
    <definedName name="RiskBeforeRecalcMacro" hidden="1">""</definedName>
    <definedName name="RiskBeforeSimMacro" hidden="1">""</definedName>
    <definedName name="RiskCollectDistributionSamples" hidden="1">2</definedName>
    <definedName name="RiskFixedSeed" hidden="1">111</definedName>
    <definedName name="RiskHasSettings" hidden="1">5</definedName>
    <definedName name="RiskMinimizeOnStart" hidden="1">FALSE</definedName>
    <definedName name="RiskMonitorConvergence" hidden="1">FALSE</definedName>
    <definedName name="RiskMultipleCPUSupportEnabled" hidden="1">TRUE</definedName>
    <definedName name="RiskNumIterations" hidden="1">100</definedName>
    <definedName name="RiskNumSimulations" hidden="1">1</definedName>
    <definedName name="RiskPauseOnError" hidden="1">FALSE</definedName>
    <definedName name="RiskRunAfterRecalcMacro" hidden="1">FALSE</definedName>
    <definedName name="RiskRunAfterSimMacro" hidden="1">FALSE</definedName>
    <definedName name="RiskRunBeforeRecalcMacro" hidden="1">FALSE</definedName>
    <definedName name="RiskRunBeforeSimMacro" hidden="1">FALSE</definedName>
    <definedName name="RiskSamplingType" hidden="1">3</definedName>
    <definedName name="RiskStandardRecalc" hidden="1">1</definedName>
    <definedName name="RiskUpdateDisplay" hidden="1">FALSE</definedName>
    <definedName name="RiskUseDifferentSeedForEachSim" hidden="1">FALSE</definedName>
    <definedName name="RiskUseFixedSeed" hidden="1">TRUE</definedName>
    <definedName name="RiskUseMultipleCPUs" hidden="1">TRUE</definedName>
    <definedName name="rngCreateLog">#REF!</definedName>
    <definedName name="rngFilePassword">#REF!</definedName>
    <definedName name="rngSourceTab">#REF!</definedName>
    <definedName name="rowgroup">#REF!</definedName>
    <definedName name="rowsegment">#REF!</definedName>
    <definedName name="SalWag">#REF!</definedName>
    <definedName name="SalWagEmpBen">#REF!</definedName>
    <definedName name="Sequential_Group">#REF!</definedName>
    <definedName name="Sequential_Segment">#REF!</definedName>
    <definedName name="Sequential_Sort">#REF!</definedName>
    <definedName name="sortcol" localSheetId="7">#REF!</definedName>
    <definedName name="sortcol">#REF!</definedName>
    <definedName name="sortcol1" localSheetId="7">#REF!</definedName>
    <definedName name="sortcol1">#REF!</definedName>
    <definedName name="SOURCE">#REF!</definedName>
    <definedName name="superuserdestination">'[2]Super user list'!$A:$A</definedName>
    <definedName name="Supplemental_Filter">#REF!</definedName>
    <definedName name="surgadult">#REF!</definedName>
    <definedName name="surgpeds">#REF!</definedName>
    <definedName name="timeseries">#REF!</definedName>
    <definedName name="Title">#REF!</definedName>
    <definedName name="TitleOld">#REF!</definedName>
    <definedName name="TOTALPATDAYS" localSheetId="7">#REF!</definedName>
    <definedName name="TOTALPATDAYS">#REF!</definedName>
    <definedName name="TOTALPATDAYS2">#REF!</definedName>
    <definedName name="TotExp">#REF!</definedName>
    <definedName name="TotWkdHrs">#REF!</definedName>
    <definedName name="valHighlight" localSheetId="7">#REF!</definedName>
    <definedName name="valHighlight">#REF!</definedName>
    <definedName name="VarDrugs">#REF!</definedName>
    <definedName name="VarLabor">#REF!</definedName>
    <definedName name="VarMedSup">#REF!</definedName>
    <definedName name="VarOther">#REF!</definedName>
    <definedName name="VarOtherExpenses">#REF!</definedName>
    <definedName name="VarOtherSupplies">#REF!</definedName>
    <definedName name="VarSupplies">#REF!</definedName>
    <definedName name="volume" localSheetId="7">#REF!</definedName>
    <definedName name="volume">#REF!</definedName>
    <definedName name="wp">#REF!</definedName>
    <definedName name="wrn.rep1." hidden="1">{"add",#N/A,FALSE,"code"}</definedName>
    <definedName name="xperiod">#REF!</definedName>
    <definedName name="xtabin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SURGERY LIST_d766a92f-2c54-41ec-a9c4-642ef55d6fbb" name="SURGERY LIST" connection="Query - SURGERY LIST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G2" i="4" l="1"/>
  <c r="B2" i="48"/>
  <c r="C3" i="3" l="1"/>
  <c r="J1" i="38" l="1"/>
  <c r="C2" i="37" l="1"/>
  <c r="I2" i="4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DBAA2B5-1EED-482B-A1A8-49F474C01510}" keepAlive="1" name="ModelConnection_ExternalData_3" description="Data Model" type="5" refreshedVersion="8" minRefreshableVersion="5" saveData="1">
    <dbPr connection="Data Model Connection" command="SURGERY LIST" commandType="3"/>
    <extLst>
      <ext xmlns:x15="http://schemas.microsoft.com/office/spreadsheetml/2010/11/main" uri="{DE250136-89BD-433C-8126-D09CA5730AF9}">
        <x15:connection id="" model="1"/>
      </ext>
    </extLst>
  </connection>
  <connection id="2" xr16:uid="{70876159-95EC-4C5E-A555-E2AF3ABA5962}" name="Query - SURGERY LIST" description="Connection to the 'SURGERY LIST' query in the workbook." type="100" refreshedVersion="8" minRefreshableVersion="5">
    <extLst>
      <ext xmlns:x15="http://schemas.microsoft.com/office/spreadsheetml/2010/11/main" uri="{DE250136-89BD-433C-8126-D09CA5730AF9}">
        <x15:connection id="a49f3c2c-bb79-4e0c-a552-637b500bd450"/>
      </ext>
    </extLst>
  </connection>
  <connection id="3" xr16:uid="{C0AB3A5E-13D3-4440-8FDB-69CC56329B9D}" keepAlive="1" interval="60" name="Query - WT8DCLIST" description="Connection to the 'WT8DCLIST' query in the workbook." type="5" refreshedVersion="8" background="1" saveData="1">
    <dbPr connection="Provider=Microsoft.Mashup.OleDb.1;Data Source=$Workbook$;Location=WT8DCLIST;Extended Properties=&quot;&quot;" command="SELECT * FROM [WT8DCLIST]"/>
  </connection>
  <connection id="4" xr16:uid="{E5A20145-6AD9-46A0-A7E1-B95BCE01BDEB}" keepAlive="1" interval="60" name="Query - WT8UNITGUIDE" description="Connection to the 'WT8UNITGUIDE' query in the workbook." type="5" refreshedVersion="8" background="1" refreshOnLoad="1" saveData="1">
    <dbPr connection="Provider=Microsoft.Mashup.OleDb.1;Data Source=$Workbook$;Location=WT8UNITGUIDE;Extended Properties=&quot;&quot;" command="SELECT * FROM [WT8UNITGUIDE]"/>
  </connection>
  <connection id="5" xr16:uid="{0C96E739-A54C-405B-B20F-DBC817917674}" odcFile="C:\Users\tjm254\Downloads\query (9).iqy" keepAlive="1" name="query (9)" type="5" refreshedVersion="8" minRefreshableVersion="3" saveData="1">
    <dbPr connection="Provider=Microsoft.Office.List.OLEDB.2.0;Data Source=&quot;&quot;;ApplicationName=Excel;Version=12.0.0.0" command="&lt;LIST&gt;&lt;VIEWGUID&gt;705A56DB-1922-4866-B939-45EC712B019C&lt;/VIEWGUID&gt;&lt;LISTNAME&gt;745b597b-f67a-401f-b412-b44daf8a7fd3&lt;/LISTNAME&gt;&lt;LISTWEB&gt;https://ahsonline.sharepoint.com/teams/WT8Charge/_vti_bin&lt;/LISTWEB&gt;&lt;LISTSUBWEB&gt;&lt;/LISTSUBWEB&gt;&lt;ROOTFOLDER&gt;&lt;/ROOTFOLDER&gt;&lt;/LIST&gt;" commandType="5"/>
  </connection>
  <connection id="6" xr16:uid="{25D3986B-B7B9-4187-B537-14A32DBEF9F5}" keepAlive="1" name="ThisWorkbookDataModel" description="Data Model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</connections>
</file>

<file path=xl/metadata.xml><?xml version="1.0" encoding="utf-8"?>
<metadata xmlns="http://schemas.openxmlformats.org/spreadsheetml/2006/main" xmlns:xlrd="http://schemas.microsoft.com/office/spreadsheetml/2017/richdata">
  <metadataTypes count="1">
    <metadataType name="XLRICHVALUE" minSupportedVersion="120000" copy="1" pasteAll="1" pasteValues="1" merge="1" splitFirst="1" rowColShift="1" clearFormats="1" clearComments="1" assign="1" coerce="1"/>
  </metadataTypes>
  <futureMetadata name="XLRICHVALUE" count="3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</futureMetadata>
  <valueMetadata count="3">
    <bk>
      <rc t="1" v="0"/>
    </bk>
    <bk>
      <rc t="1" v="1"/>
    </bk>
    <bk>
      <rc t="1" v="2"/>
    </bk>
  </valueMetadata>
</metadata>
</file>

<file path=xl/sharedStrings.xml><?xml version="1.0" encoding="utf-8"?>
<sst xmlns="http://schemas.openxmlformats.org/spreadsheetml/2006/main" count="980" uniqueCount="557">
  <si>
    <t>Room</t>
  </si>
  <si>
    <t>Modified</t>
  </si>
  <si>
    <t>Modified By</t>
  </si>
  <si>
    <t>Name</t>
  </si>
  <si>
    <t>Service Line</t>
  </si>
  <si>
    <t>Clinical Needs to Continue Admission</t>
  </si>
  <si>
    <t>Dispo</t>
  </si>
  <si>
    <t>EDD</t>
  </si>
  <si>
    <t>MRN</t>
  </si>
  <si>
    <t>Non-Clinical DC Barriers</t>
  </si>
  <si>
    <t>SurgeryToday</t>
  </si>
  <si>
    <t>Surgery</t>
  </si>
  <si>
    <t>Drip</t>
  </si>
  <si>
    <t>Appointment Detail</t>
  </si>
  <si>
    <t>Admit Reason</t>
  </si>
  <si>
    <t>AdmitWeight</t>
  </si>
  <si>
    <t>WeightToday</t>
  </si>
  <si>
    <t>WeightChange</t>
  </si>
  <si>
    <t>LOS</t>
  </si>
  <si>
    <t>Braden</t>
  </si>
  <si>
    <t>Fall Risk</t>
  </si>
  <si>
    <t>CSN</t>
  </si>
  <si>
    <t>GMLOS</t>
  </si>
  <si>
    <t>Creatinine</t>
  </si>
  <si>
    <t>Potassium (K+)</t>
  </si>
  <si>
    <t>Magnesium</t>
  </si>
  <si>
    <t>Hemoglobin (Hgb)</t>
  </si>
  <si>
    <t>Incentive Spirometry</t>
  </si>
  <si>
    <t>8901</t>
  </si>
  <si>
    <t>Hathaway, Brent</t>
  </si>
  <si>
    <t>Hornbeck, Richard Matthew</t>
  </si>
  <si>
    <t>CTsx</t>
  </si>
  <si>
    <t>Home with Home Health Services</t>
  </si>
  <si>
    <t>VATS 1025</t>
  </si>
  <si>
    <t>Urology — 9/22</t>
  </si>
  <si>
    <t>PLEURAL EFFUSION WITH MCC</t>
  </si>
  <si>
    <t>0.4 mg/dL</t>
  </si>
  <si>
    <t>4.3</t>
  </si>
  <si>
    <t>2.27</t>
  </si>
  <si>
    <t>12.8 g/dL</t>
  </si>
  <si>
    <t>16%</t>
  </si>
  <si>
    <t>8902</t>
  </si>
  <si>
    <t>Vardakis, Virginia</t>
  </si>
  <si>
    <t>Plastics</t>
  </si>
  <si>
    <t>Left leg Debulking</t>
  </si>
  <si>
    <t>8%</t>
  </si>
  <si>
    <t>8903</t>
  </si>
  <si>
    <t>Bundoc, Michael</t>
  </si>
  <si>
    <t>CVmed</t>
  </si>
  <si>
    <t>Came in for fall/syncopal episode, cardio and nephro consulted, Na 120, bilateral lymph</t>
  </si>
  <si>
    <t>Fall/Syncope</t>
  </si>
  <si>
    <t>1.7 mg/dL</t>
  </si>
  <si>
    <t>3.1</t>
  </si>
  <si>
    <t>2.9</t>
  </si>
  <si>
    <t>13.7 g/dL</t>
  </si>
  <si>
    <t>24%</t>
  </si>
  <si>
    <t>8904</t>
  </si>
  <si>
    <t>Farber, Cynthia</t>
  </si>
  <si>
    <t>Sotalol loading</t>
  </si>
  <si>
    <t>4.8</t>
  </si>
  <si>
    <t>2.1</t>
  </si>
  <si>
    <t>12%</t>
  </si>
  <si>
    <t>8905</t>
  </si>
  <si>
    <t>Giron, Katherine</t>
  </si>
  <si>
    <t>Home or Self Care</t>
  </si>
  <si>
    <t>Laryngoscopy w Bronch</t>
  </si>
  <si>
    <t>SOB</t>
  </si>
  <si>
    <t>Not on file</t>
  </si>
  <si>
    <t>10.2 g/dL</t>
  </si>
  <si>
    <t>9%</t>
  </si>
  <si>
    <t>Van Dine, Amelita Paguio</t>
  </si>
  <si>
    <t>Flex bronch</t>
  </si>
  <si>
    <t>0.9 mg/dL</t>
  </si>
  <si>
    <t>2</t>
  </si>
  <si>
    <t>8907</t>
  </si>
  <si>
    <t>Gooch, Gary Robin</t>
  </si>
  <si>
    <t>Skilled Nursing Facility (SNF) with Medicare Certification in Anticipation of Skilled Care</t>
  </si>
  <si>
    <t>SEPTICEMIA OR SEVERE SEPSIS WITHOUT MV &gt;96 HOURS WITH MCC</t>
  </si>
  <si>
    <t>1.1 mg/dL</t>
  </si>
  <si>
    <t>4</t>
  </si>
  <si>
    <t>10.1 g/dL</t>
  </si>
  <si>
    <t>26%</t>
  </si>
  <si>
    <t>8908</t>
  </si>
  <si>
    <t>Molina, Alberto Espinosa</t>
  </si>
  <si>
    <t xml:space="preserve">CBA, needs a facility for IV ABX supervision, will be difficult d/t wound vac, CM sup working on OM to home. Needs methadone in hand till 10/23. CM working on OM to home.
</t>
  </si>
  <si>
    <t xml:space="preserve"> will need IV ABX supervision</t>
  </si>
  <si>
    <t>Sternoclavicular I/D</t>
  </si>
  <si>
    <t>Follow-up — September 10 3:00pm</t>
  </si>
  <si>
    <t>TENDON, MUSCLE AND OTHER SOFT TISSUE PROCEDURES</t>
  </si>
  <si>
    <t>1 mg/dL</t>
  </si>
  <si>
    <t>4.7</t>
  </si>
  <si>
    <t>9.8 g/dL</t>
  </si>
  <si>
    <t>17%</t>
  </si>
  <si>
    <t>8909</t>
  </si>
  <si>
    <t>Danko, Stefany Jo</t>
  </si>
  <si>
    <t>Declined SNF</t>
  </si>
  <si>
    <t>Thoracotomy/Decortication</t>
  </si>
  <si>
    <t>Heparin</t>
  </si>
  <si>
    <t>INFECTIOUS AND PARASITIC DISEASES WITH O.R. PROCEDURES WITH MCC</t>
  </si>
  <si>
    <t>4.4</t>
  </si>
  <si>
    <t>2.4</t>
  </si>
  <si>
    <t>7.3 g/dL</t>
  </si>
  <si>
    <t>25%</t>
  </si>
  <si>
    <t>8910</t>
  </si>
  <si>
    <t>Salinas, Husani</t>
  </si>
  <si>
    <t xml:space="preserve">s/p Rest arrest. PEG, TF, TRACH. IPR rejected, complex CM involved no changes, pend NJ SNF/IPR. </t>
  </si>
  <si>
    <t>From New Jersey
SNF in New Jersey vs Orlando
Has out of state insurance
Mom does not want to do HHC</t>
  </si>
  <si>
    <t>IR PERCUTANEOUS CHOLECYSTOSTOMY PLACEMENT</t>
  </si>
  <si>
    <t>TRACHEOSTOMY WITH MV &gt;96 HOURS OR PRINCIPAL DIAGNOSIS EXCEPT FACE, MOUTH AND NECK WITHOUT MAJOR O.R. PROCEDURES</t>
  </si>
  <si>
    <t>0.3 mg/dL</t>
  </si>
  <si>
    <t>1.6</t>
  </si>
  <si>
    <t>8.7 g/dL</t>
  </si>
  <si>
    <t>18%</t>
  </si>
  <si>
    <t>8911</t>
  </si>
  <si>
    <t>Muscadin, Harry</t>
  </si>
  <si>
    <t>Hep gtt to coumadin bridge, INR goal 2. 
Pt also non compliant with some medications and has skipped HD in past d/t pain
inr 1.55, warfarin dosing, HD this AM</t>
  </si>
  <si>
    <t>RENAL FAILURE WITH MCC</t>
  </si>
  <si>
    <t>6.1 mg/dL</t>
  </si>
  <si>
    <t>1.8</t>
  </si>
  <si>
    <t>9.5 g/dL</t>
  </si>
  <si>
    <t>39%</t>
  </si>
  <si>
    <t>3.7</t>
  </si>
  <si>
    <t>12.2 g/dL</t>
  </si>
  <si>
    <t>8913</t>
  </si>
  <si>
    <t>Nichols, Kenneth</t>
  </si>
  <si>
    <t>MITRAL VALVE REPAIR/REPLACEMENT, MAZE, LEFT ATRIAL APPENDANGE CLIP, REMOVAL OF EPICARDIAL LEADS, TRANSESOPHAGEAL ECHOCARDIOGRAM w/ Ali 0845</t>
  </si>
  <si>
    <t>PCP — 9/17</t>
  </si>
  <si>
    <t>CIRCULATORY DISORDERS EXCEPT AMI, WITH CARDIAC CATHETERIZATION WITHOUT MCC</t>
  </si>
  <si>
    <t>15.6 g/dL</t>
  </si>
  <si>
    <t>15%</t>
  </si>
  <si>
    <t>8914</t>
  </si>
  <si>
    <t>Faulkner, William Eugene</t>
  </si>
  <si>
    <t>Inpatient Rehab Facility or Unit</t>
  </si>
  <si>
    <t>Thoracotomy</t>
  </si>
  <si>
    <t>5.9 mg/dL</t>
  </si>
  <si>
    <t>5.1</t>
  </si>
  <si>
    <t>2.5</t>
  </si>
  <si>
    <t>8.8 g/dL</t>
  </si>
  <si>
    <t>8915</t>
  </si>
  <si>
    <t>Bajaj, Jogindra</t>
  </si>
  <si>
    <t>s/p ICU dg, respiratory failure d/t aspiration. IV ABX, s/p ankle repair, getting chest physiotherapy</t>
  </si>
  <si>
    <t>CT Surgery — 9/8</t>
  </si>
  <si>
    <t>FRACTURE, SPRAIN, STRAIN AND DISLOCATION EXCEPT FEMUR, HIP, PELVIS AND THIGH WITH MCC</t>
  </si>
  <si>
    <t>1.3 mg/dL</t>
  </si>
  <si>
    <t>4.2</t>
  </si>
  <si>
    <t>2.2</t>
  </si>
  <si>
    <t>9.1 g/dL</t>
  </si>
  <si>
    <t>8916</t>
  </si>
  <si>
    <t>Neil Allgood</t>
  </si>
  <si>
    <t>Originally at WP, transferred here 9/14 for PCI, can possibly repat if stable in am per cardio</t>
  </si>
  <si>
    <t>Chest pain</t>
  </si>
  <si>
    <t>8917</t>
  </si>
  <si>
    <t>Villanueva Cervantes, Antonio</t>
  </si>
  <si>
    <t>Repeat EGD 9/14 cancelled xray esoph showed small leak, continue pain management,. x 1 CT, TF @ 60/goal</t>
  </si>
  <si>
    <t>Self Pay
Will need IV ABX and HHI TF.
LOA
Cant do medicaid because he does not have a social</t>
  </si>
  <si>
    <t>EGD 1030</t>
  </si>
  <si>
    <t>0.6 mg/dL</t>
  </si>
  <si>
    <t>4.1</t>
  </si>
  <si>
    <t>2.3</t>
  </si>
  <si>
    <t>10.6 g/dL</t>
  </si>
  <si>
    <t>20%</t>
  </si>
  <si>
    <t>8918</t>
  </si>
  <si>
    <t>Johnson, Lashell D</t>
  </si>
  <si>
    <t>LHC today, diagnostic no intervention, Hematology consulted starting IV iron x5 doses. Started 9/14</t>
  </si>
  <si>
    <t>LHC 1330</t>
  </si>
  <si>
    <t>Headache, CP</t>
  </si>
  <si>
    <t>7.5 g/dL</t>
  </si>
  <si>
    <t>5%</t>
  </si>
  <si>
    <t>1.9</t>
  </si>
  <si>
    <t>8920</t>
  </si>
  <si>
    <t>Jones, Margaret Brown</t>
  </si>
  <si>
    <t xml:space="preserve"> TTE 55-60, pending further cardio POC</t>
  </si>
  <si>
    <t>SYNCOPE AND COLLAPSE</t>
  </si>
  <si>
    <t>4.6</t>
  </si>
  <si>
    <t>8921</t>
  </si>
  <si>
    <t>Mitchell, Rondahl Adrian</t>
  </si>
  <si>
    <t>Transfer from ORMC, acute PE on eliquis, vasc consulted possible IVC filter vs Thrombectomy on hep gtt. Hem consulted GI d/t unintentional weight loss</t>
  </si>
  <si>
    <t>3.8</t>
  </si>
  <si>
    <t>11.8 g/dL</t>
  </si>
  <si>
    <t>13%</t>
  </si>
  <si>
    <t>8922</t>
  </si>
  <si>
    <t>Mendez, Jeannette</t>
  </si>
  <si>
    <t xml:space="preserve">no CT. Need home TF set up, adv diet, needs home IV abx, pend HHC. declined IPR. CTS keeping till wednesday to monitor off TF make sure she is eating enough
</t>
  </si>
  <si>
    <t>Thora, Hernia repair, mesh placement, washout</t>
  </si>
  <si>
    <t>PCP — Sep 29, 2026 2:00 PM with Gaurav Aggarwal; Follow-up — 9/16</t>
  </si>
  <si>
    <t>0.5 mg/dL</t>
  </si>
  <si>
    <t>9.6 g/dL</t>
  </si>
  <si>
    <t>14%</t>
  </si>
  <si>
    <t>8923</t>
  </si>
  <si>
    <t>Osborne, William Van</t>
  </si>
  <si>
    <t>IR Biopsy today to progress POC. Hgb low yesterday, pending AM labs</t>
  </si>
  <si>
    <t>IR Biopsy no time</t>
  </si>
  <si>
    <t>PW</t>
  </si>
  <si>
    <t>OTHER CARDIOTHORACIC AND THORACIC CIRCULATORY PROCEDURES</t>
  </si>
  <si>
    <t>4.9</t>
  </si>
  <si>
    <t>1.5</t>
  </si>
  <si>
    <t>7.2 g/dL</t>
  </si>
  <si>
    <t>19%</t>
  </si>
  <si>
    <t>8924</t>
  </si>
  <si>
    <t>Barrett, Anthony</t>
  </si>
  <si>
    <t>Lasix push, heparin gtt, may need ablation, HR keeps jumping up in afib. CDV today @1330 w Mondal.
Psych consult, adjusting meds, PT/OT ordered</t>
  </si>
  <si>
    <t>CDV</t>
  </si>
  <si>
    <t>HEART FAILURE AND SHOCK WITH MCC</t>
  </si>
  <si>
    <t>0.8 mg/dL</t>
  </si>
  <si>
    <t>2.6</t>
  </si>
  <si>
    <t>8925</t>
  </si>
  <si>
    <t>Morgan, Willie</t>
  </si>
  <si>
    <t>Admitted for "lung pain" pend Pulm consult &amp; POC Was not taking eliquis at home - eliquis now restarted, poss DC?</t>
  </si>
  <si>
    <t>Lung pain</t>
  </si>
  <si>
    <t>1.2 mg/dL</t>
  </si>
  <si>
    <t>3.4</t>
  </si>
  <si>
    <t>12.4 g/dL</t>
  </si>
  <si>
    <t>8926</t>
  </si>
  <si>
    <t>Conaway, Donald Lee</t>
  </si>
  <si>
    <t>HHC IV ABX wont be final today as backup, IPR appeal from pt pending, pain not managed with current regimen</t>
  </si>
  <si>
    <t>OBOTIC ASSISTED RIGHT LOWER EXTREMITY DEBRIDEMENT AND COVERAGE WITH ANTEROLATERAL THIGH FREE FLAP</t>
  </si>
  <si>
    <t>CT Surgery — Sep 16, 2026 1:30 PM with Lindsey Patterson Bates</t>
  </si>
  <si>
    <t>TRAUMA TO THE SKIN, SUBCUTANEOUS TISSUE AND BREAST WITH MCC</t>
  </si>
  <si>
    <t>2.22</t>
  </si>
  <si>
    <t>8927</t>
  </si>
  <si>
    <t>Kishun, Niranjan</t>
  </si>
  <si>
    <t>11%</t>
  </si>
  <si>
    <t>8928</t>
  </si>
  <si>
    <t>LEAVITT, John</t>
  </si>
  <si>
    <t>10.5 g/dL</t>
  </si>
  <si>
    <t>8929</t>
  </si>
  <si>
    <t>8930</t>
  </si>
  <si>
    <t>North, Herbert Lake</t>
  </si>
  <si>
    <t>RLE Reconstruction and debridement w muscle flap and wound vac.</t>
  </si>
  <si>
    <t>POSTOPERATIVE AND POST-TRAUMATIC INFECTIONS WITHOUT MCC</t>
  </si>
  <si>
    <t>8931</t>
  </si>
  <si>
    <t>Ducker, Stephen James</t>
  </si>
  <si>
    <t>8932</t>
  </si>
  <si>
    <t>Sanchez Salazar, Yura</t>
  </si>
  <si>
    <t>Off Service - Other</t>
  </si>
  <si>
    <t>TTE EF 20-25, digoxin for afib. s/p thoracentesis pending cx, ablation pending availability</t>
  </si>
  <si>
    <t>15.1 g/dL</t>
  </si>
  <si>
    <t>23%</t>
  </si>
  <si>
    <t>8933</t>
  </si>
  <si>
    <t>Striby, Vicki Elizabeth</t>
  </si>
  <si>
    <t>CTS eval for CABG - Suarez 9/21. CTS to reeval Friday to determine if shes strong enough for OR</t>
  </si>
  <si>
    <t>8934</t>
  </si>
  <si>
    <t>Carlson, Anne Kunik</t>
  </si>
  <si>
    <t>Direct Admit to start Kengreal 5 days prior to her C-3-C6 fusion with Dr.  Baker on 9/16, Cangrelor to be stopped today, Ativan switched from 1mg to 0.5mg</t>
  </si>
  <si>
    <t>MEDICAL BACK PROBLEMS WITHOUT MCC</t>
  </si>
  <si>
    <t>4.5</t>
  </si>
  <si>
    <t>8935</t>
  </si>
  <si>
    <t>Valladares Cintron, Hector Efrain</t>
  </si>
  <si>
    <t>POD7 X1 CT, 1CT removed today. IV abx until 9/18, PICC?</t>
  </si>
  <si>
    <t>thoracotomy</t>
  </si>
  <si>
    <t>PCP — Sep 10, 2026 3:00 PM with Frank Aran; Cardiology — Sep 14, 2026 9:00 AM with Jonathan Rodriguez</t>
  </si>
  <si>
    <t>3.6</t>
  </si>
  <si>
    <t>9.9 g/dL</t>
  </si>
  <si>
    <t>8936</t>
  </si>
  <si>
    <t>Cartagena Martinez, Gricelia</t>
  </si>
  <si>
    <t>Pigtail placed 9/13 for hydropneumo, -20, CT/ID/Hepato following, IV ABX</t>
  </si>
  <si>
    <t>Abd pain</t>
  </si>
  <si>
    <t>3.5 mg/dL</t>
  </si>
  <si>
    <t>7.7 g/dL</t>
  </si>
  <si>
    <t>41%</t>
  </si>
  <si>
    <t>WT8 - STPCU UNIT GUIDE - please click here to access the live data</t>
  </si>
  <si>
    <t>SEE TAB TO THE LEFT (POCT Unit Guide NEW)</t>
  </si>
  <si>
    <t>UNIT GUIDE POWER APP - ALPHA</t>
  </si>
  <si>
    <t>DC TODAY</t>
  </si>
  <si>
    <t>ROOM</t>
  </si>
  <si>
    <t>Last Name</t>
  </si>
  <si>
    <t>Brief Patient Note</t>
  </si>
  <si>
    <t>Leader Action Items regarding LOS:</t>
  </si>
  <si>
    <t>SurgeryBarriers</t>
  </si>
  <si>
    <t>Misaligned Dispo</t>
  </si>
  <si>
    <t/>
  </si>
  <si>
    <t>SNF</t>
  </si>
  <si>
    <t>HHC</t>
  </si>
  <si>
    <t>WT8/Surgical Thoracic PCU - EOSR</t>
  </si>
  <si>
    <t>Important/Frequent Links</t>
  </si>
  <si>
    <t>Picture</t>
  </si>
  <si>
    <t>Date:</t>
  </si>
  <si>
    <t>Shift:</t>
  </si>
  <si>
    <t>PM</t>
  </si>
  <si>
    <t>Leader/ Oncoming:</t>
  </si>
  <si>
    <t>Jessica/Ted</t>
  </si>
  <si>
    <t>DAILY - EACH SHIFT FORMS/LINKS</t>
  </si>
  <si>
    <t>Staffing/Census</t>
  </si>
  <si>
    <t>Clinical Notes</t>
  </si>
  <si>
    <t>SURGIFLOW</t>
  </si>
  <si>
    <t>STAFFING:</t>
  </si>
  <si>
    <t>10/4/1</t>
  </si>
  <si>
    <t>Equipment Audit Form</t>
  </si>
  <si>
    <t>Float IN/Current shift (name/location)</t>
  </si>
  <si>
    <t>MN Census (PM)</t>
  </si>
  <si>
    <t>36</t>
  </si>
  <si>
    <t>Totals</t>
  </si>
  <si>
    <t>15.19.27</t>
  </si>
  <si>
    <t xml:space="preserve">HAND HYGEINE FORM                                                        </t>
  </si>
  <si>
    <t>EOS Census</t>
  </si>
  <si>
    <t>FALL RISK</t>
  </si>
  <si>
    <t>2.5.6.11.15.16.17.19.21.22.23.24.27.33.35</t>
  </si>
  <si>
    <t>Code Cart Checks</t>
  </si>
  <si>
    <t>Discharges/Pending/Lounge/Farewells</t>
  </si>
  <si>
    <t>DNR</t>
  </si>
  <si>
    <t>HURON LVOP IPAD APP ROUNDING</t>
  </si>
  <si>
    <t>TIME CRITICAL</t>
  </si>
  <si>
    <t>13 - Tikosyn   19- Tacro</t>
  </si>
  <si>
    <t>Farewell Team Form</t>
  </si>
  <si>
    <t>AUDIT LINKS HERE</t>
  </si>
  <si>
    <t>FALL VALIDATIONS</t>
  </si>
  <si>
    <t>5/0/0/1</t>
  </si>
  <si>
    <t>DRIPS</t>
  </si>
  <si>
    <t xml:space="preserve">Hep 13.16.19.20.  </t>
  </si>
  <si>
    <t>Farewell Team Workspace</t>
  </si>
  <si>
    <t>UFPS Validation</t>
  </si>
  <si>
    <t xml:space="preserve">Float OUT/ Current shift (name/location) </t>
  </si>
  <si>
    <t>Supply Needs</t>
  </si>
  <si>
    <t>WED DNV Incentive Spirometer Audit</t>
  </si>
  <si>
    <t>Charge Nurse - FALL IMPLEMENTATION - DOOR SIGNAGE VALIDATION</t>
  </si>
  <si>
    <t>Med Scanning</t>
  </si>
  <si>
    <t>99.3%</t>
  </si>
  <si>
    <t>MALE PUREWICKS, glucose strips</t>
  </si>
  <si>
    <t>Transfusion Audits 5am 5pm</t>
  </si>
  <si>
    <t>Nurse Leader Unit Fall Prevention Interventions Validation</t>
  </si>
  <si>
    <t>Kudos (GLINT)</t>
  </si>
  <si>
    <t>Shannon advocating for her patient to have plan of care clarified</t>
  </si>
  <si>
    <t>DCL has ww from 8924!</t>
  </si>
  <si>
    <t>Coaching</t>
  </si>
  <si>
    <t>Hunter missing MDR forms, Nathaly not starting post fluids after heart cath, Diana &amp; Gina patient atrium found on bed tipped over</t>
  </si>
  <si>
    <t>Yellow labels for the label maker. Batteries for Clocks</t>
  </si>
  <si>
    <t>Pain DNV Audits</t>
  </si>
  <si>
    <t>DEC 2025 NEW LINK *** TELE TUESDAY</t>
  </si>
  <si>
    <t>3 audits per shift on Tuesdays (one form per shift)</t>
  </si>
  <si>
    <t>Standby</t>
  </si>
  <si>
    <t>DNV THINGS:</t>
  </si>
  <si>
    <t>MSH Teaching</t>
  </si>
  <si>
    <t>Staff float list</t>
  </si>
  <si>
    <t>Wed - DNV Incentive Spirometer Audit</t>
  </si>
  <si>
    <t>BLOOD:</t>
  </si>
  <si>
    <t>4 &amp; 8(Dc'ed)</t>
  </si>
  <si>
    <t>IP Power hour, Falls, Saftey debrief, inservices coming up this week!</t>
  </si>
  <si>
    <t>Huron Excel Entry</t>
  </si>
  <si>
    <t>Friday - Blood</t>
  </si>
  <si>
    <t>SEDATION:</t>
  </si>
  <si>
    <t>N/A</t>
  </si>
  <si>
    <t>7- VS machine need biomed work order placed on 1/26</t>
  </si>
  <si>
    <t>Productivity Dashboard</t>
  </si>
  <si>
    <t>STAFF LUNCH                                                               SHIFT NOTES:</t>
  </si>
  <si>
    <t>15/15</t>
  </si>
  <si>
    <t>COMPLIANCE AUDIT: SKIN</t>
  </si>
  <si>
    <t>8905 - No MALES - 8911 No Gina &amp; Fedz - 8924 Refusing everything -8915 Day shift needs to stay on top of pain - last dose was POST OP! pt was in 11/10 pain at shift change took hours to control, DO NOT GIVE 1mg Dilaudid - pt was almost sedated - did not require narco</t>
  </si>
  <si>
    <t>FALL DOOR SIGNAGE VALIDATION</t>
  </si>
  <si>
    <t>PENDING</t>
  </si>
  <si>
    <t>8.14.25.30.34</t>
  </si>
  <si>
    <t>8921 - CIWA positive - rapid overnight for chest pain, EKG changes and blurred vision - Lovenox added, morphine added, metroprolol added, 1 time dose 10mg IV Diazepam - STAT chest x-ray and EKG completed, Troph 22, NO FEMALES</t>
  </si>
  <si>
    <t>BioMed Tickets (anything that touches a patient)</t>
  </si>
  <si>
    <t>CALL OUTS</t>
  </si>
  <si>
    <t>Cardiac Service Line Workbook v3.7.24.xlsx</t>
  </si>
  <si>
    <t>OVERDUE ADMISSIONS:</t>
  </si>
  <si>
    <t>24.31.34</t>
  </si>
  <si>
    <t>ICU.PCU Capacity Throughput Report Off .xlsx</t>
  </si>
  <si>
    <t xml:space="preserve">PENDING DC'S (@EOS): </t>
  </si>
  <si>
    <t>OVERDUE BATHS:</t>
  </si>
  <si>
    <t>2.16.28.32</t>
  </si>
  <si>
    <t>EVS hotline 24/7 leadership and dispatch: 110-7448</t>
  </si>
  <si>
    <t>CABG/HF patients</t>
  </si>
  <si>
    <t>CTS Patients</t>
  </si>
  <si>
    <t xml:space="preserve">Plastic's Patients </t>
  </si>
  <si>
    <t>ISO CABG - MEDICARE TRACKER</t>
  </si>
  <si>
    <t>4.6.9.15.16.17.30</t>
  </si>
  <si>
    <t>05</t>
  </si>
  <si>
    <t>Falls Form</t>
  </si>
  <si>
    <t>PACU's (current shift)</t>
  </si>
  <si>
    <t>THORACIC PACU</t>
  </si>
  <si>
    <t>PLANNED PLASTICS INCOMING NEXT SHIFT</t>
  </si>
  <si>
    <t>24 hrs f/u FALL FORM</t>
  </si>
  <si>
    <t>none</t>
  </si>
  <si>
    <t>1</t>
  </si>
  <si>
    <t>Flex EOSR WT8.xlsx</t>
  </si>
  <si>
    <t>Time</t>
  </si>
  <si>
    <t>Checklist</t>
  </si>
  <si>
    <t>Huron</t>
  </si>
  <si>
    <t>CV ICU/PCU Report Cardiac Service Line</t>
  </si>
  <si>
    <t>Brent</t>
  </si>
  <si>
    <t>WT8 STPCU - CHARGE NURSE EOSR</t>
  </si>
  <si>
    <t>COMMENT SECTION (will be removed 9/1)</t>
  </si>
  <si>
    <t>LEADERSHIP LINKS</t>
  </si>
  <si>
    <t>Time Critical Med Rooms:</t>
  </si>
  <si>
    <t>8904 - Sotalol; 8936 - Cyclosporine</t>
  </si>
  <si>
    <t>I have removed everything that is not NEEDED. If you want something brought back, post on the Teams post from today's meeting.</t>
  </si>
  <si>
    <t>Leader:</t>
  </si>
  <si>
    <t>DNR:</t>
  </si>
  <si>
    <t>HAND HYGEINE OBS</t>
  </si>
  <si>
    <t>Lunches Confirmed:</t>
  </si>
  <si>
    <t>Communication Barriers:</t>
  </si>
  <si>
    <t xml:space="preserve"> 17.20.32 - Spanish   </t>
  </si>
  <si>
    <t>This will be used when ANMs validate Timecards, please ensure we are validating with intention.</t>
  </si>
  <si>
    <t>IP Power Hour Confirmed:</t>
  </si>
  <si>
    <t>Trachs:</t>
  </si>
  <si>
    <t>8910 - trach. 8925 - Laryngectomy</t>
  </si>
  <si>
    <t>How many staff you validated completed IP PH tasks / total # staff on shift.</t>
  </si>
  <si>
    <t>Readmission Workbook</t>
  </si>
  <si>
    <t>CHG Completed This Shift:</t>
  </si>
  <si>
    <t>IP Selfies:</t>
  </si>
  <si>
    <t>Overdue CHG @ EOS:</t>
  </si>
  <si>
    <t>HF:</t>
  </si>
  <si>
    <t>Number of HH Audits you submitted this shift</t>
  </si>
  <si>
    <t>CENTRAL SUPPLY APP</t>
  </si>
  <si>
    <t>HUC Tasks Validated:</t>
  </si>
  <si>
    <t>YES</t>
  </si>
  <si>
    <t>ISO CABG:</t>
  </si>
  <si>
    <t>Room #s &amp; Selfie Type (karius, urine, blood, CDT)</t>
  </si>
  <si>
    <t>WORK ORDER REQEUSTS - AIMS</t>
  </si>
  <si>
    <t>Sitter/VPO:</t>
  </si>
  <si>
    <t>n/a</t>
  </si>
  <si>
    <t>HH Audits Completed:</t>
  </si>
  <si>
    <t>Central lines form</t>
  </si>
  <si>
    <t>DNV Green Charts (Room # on Left Column/Details &amp; Follow Ups Right Column)</t>
  </si>
  <si>
    <t>ENVIRONMENT / SUPPLIES NEEDS</t>
  </si>
  <si>
    <t xml:space="preserve">Environment:                                                                                                               CMU mouse - work order                                   Coffee machine -  work order                                                     </t>
  </si>
  <si>
    <r>
      <rPr>
        <b/>
        <sz val="11"/>
        <color rgb="FF000000"/>
        <rFont val="Aptos Narrow"/>
        <scheme val="minor"/>
      </rPr>
      <t xml:space="preserve">Supplies:
</t>
    </r>
    <r>
      <rPr>
        <sz val="11"/>
        <color rgb="FF000000"/>
        <rFont val="Aptos Narrow"/>
        <scheme val="minor"/>
      </rPr>
      <t xml:space="preserve">tablets 17.20.36.
8902 dayshift battery missing                                            8934 dayshift battery missing                                                        </t>
    </r>
  </si>
  <si>
    <t>MONDAY Pain DNV Audits</t>
  </si>
  <si>
    <t>TUESDAY Tele DNV Audits</t>
  </si>
  <si>
    <t>WEDNESDAY Incentive Spirometer DNV Audits</t>
  </si>
  <si>
    <t>FRIDAY Blood DNV Audits</t>
  </si>
  <si>
    <r>
      <rPr>
        <b/>
        <sz val="10"/>
        <color theme="1"/>
        <rFont val="Aptos Narrow"/>
        <family val="2"/>
        <scheme val="minor"/>
      </rPr>
      <t>Leader Completed PSAF</t>
    </r>
    <r>
      <rPr>
        <b/>
        <sz val="9"/>
        <color theme="1"/>
        <rFont val="Aptos Narrow"/>
        <family val="2"/>
        <scheme val="minor"/>
      </rPr>
      <t xml:space="preserve">
(# complete/# new pt this shift)</t>
    </r>
  </si>
  <si>
    <t>Follow Up For Incomplete:</t>
  </si>
  <si>
    <t>Total # you completed / total patients admitted to WT8 your shift | Identify any rooms the next shift leaders need to follow up with</t>
  </si>
  <si>
    <t>Fall Audits</t>
  </si>
  <si>
    <t>Room #</t>
  </si>
  <si>
    <t>Findings</t>
  </si>
  <si>
    <t>Follow Up (w/Names)</t>
  </si>
  <si>
    <t>2 East Admission Request  – Fill out form</t>
  </si>
  <si>
    <t>Audit 1</t>
  </si>
  <si>
    <t>Audit 2</t>
  </si>
  <si>
    <t>Pre-Op Readiness Audit</t>
  </si>
  <si>
    <t>CHG 1</t>
  </si>
  <si>
    <t>CHG 2</t>
  </si>
  <si>
    <t>Assignment Considerations</t>
  </si>
  <si>
    <t>Tomorrow Procedures</t>
  </si>
  <si>
    <t>Clinical Issues/Changes/Rapid Response</t>
  </si>
  <si>
    <t>Flaps</t>
  </si>
  <si>
    <t>ICU Downgrades/PACU Direct Recoveries</t>
  </si>
  <si>
    <t>8921 - EGD @1015.</t>
  </si>
  <si>
    <t xml:space="preserve">8901 - RRT this AM lethargic, hypotensive 500ml bolus given. </t>
  </si>
  <si>
    <t>8930 - muscle flap</t>
  </si>
  <si>
    <t>8913 - CVICU/BOYER</t>
  </si>
  <si>
    <t>8934 - C3-C6 fusion @0715</t>
  </si>
  <si>
    <t>8909 - x 1 CT, ileostomy</t>
  </si>
  <si>
    <t>8931 - CVICU/BOYER</t>
  </si>
  <si>
    <t>8910 - clinically heavy, lots of drains and meds</t>
  </si>
  <si>
    <t>8915 - HHF 50/50</t>
  </si>
  <si>
    <t xml:space="preserve"> </t>
  </si>
  <si>
    <t>Y/N</t>
  </si>
  <si>
    <t>Patient Last Name/FIN</t>
  </si>
  <si>
    <t>Line Type</t>
  </si>
  <si>
    <t>CHG bath completed and documented q24 hours?</t>
  </si>
  <si>
    <t>PEER TO PEER COMPLETED</t>
  </si>
  <si>
    <t>Reason for continuing line?  List medications. Updates pertinent to line.</t>
  </si>
  <si>
    <t>Reason for continuing IUC?</t>
  </si>
  <si>
    <t>Insertion date documented on bag?</t>
  </si>
  <si>
    <t>Stat lock in place?</t>
  </si>
  <si>
    <t>Foley bag &lt; 3/4 full?</t>
  </si>
  <si>
    <t>Red seal intact at junction of tubing/catheter</t>
  </si>
  <si>
    <t>Drainage BAG NOT TOUCHING FLOOR and BELOW the level of the BLADDER?</t>
  </si>
  <si>
    <t>LAST DAY OF ABX</t>
  </si>
  <si>
    <t>Documentation of ABATE LINE CARE | PERICARE during IP PH?</t>
  </si>
  <si>
    <t>DATE ON DRESSING</t>
  </si>
  <si>
    <t>DATE DUTE</t>
  </si>
  <si>
    <t>DSG change date</t>
  </si>
  <si>
    <t>High Risk?</t>
  </si>
  <si>
    <t>Column3</t>
  </si>
  <si>
    <t>Patient Name</t>
  </si>
  <si>
    <t>FIN</t>
  </si>
  <si>
    <t>Column1</t>
  </si>
  <si>
    <t>Column2</t>
  </si>
  <si>
    <t>REASON &amp; CONSIDERATIONS</t>
  </si>
  <si>
    <t>Column8</t>
  </si>
  <si>
    <t>Column9</t>
  </si>
  <si>
    <t>Column10</t>
  </si>
  <si>
    <t>Column11</t>
  </si>
  <si>
    <t>Column12</t>
  </si>
  <si>
    <t>Column13</t>
  </si>
  <si>
    <t>ABX DATE</t>
  </si>
  <si>
    <t>FoleyCare/ABATE</t>
  </si>
  <si>
    <t>Column16</t>
  </si>
  <si>
    <t>Column17</t>
  </si>
  <si>
    <t>DSG DUE</t>
  </si>
  <si>
    <t>Molina, Alberto</t>
  </si>
  <si>
    <t>PICC</t>
  </si>
  <si>
    <t>IV abx cefepime</t>
  </si>
  <si>
    <t>Danko, Stefany</t>
  </si>
  <si>
    <t>IV ABX Zerbaxa</t>
  </si>
  <si>
    <t>Kocaka, Cherie</t>
  </si>
  <si>
    <t>ICU downgrade, IV abx minocycline</t>
  </si>
  <si>
    <t>Faulkner, William</t>
  </si>
  <si>
    <t>HD</t>
  </si>
  <si>
    <t xml:space="preserve">R Chest - HD T/TH/S  </t>
  </si>
  <si>
    <t>Cervantes, Antonio</t>
  </si>
  <si>
    <t>IV ABX Merrem/micafungin</t>
  </si>
  <si>
    <t>IV ABX micafungin/zosyn</t>
  </si>
  <si>
    <t>Valladares Cintron, Hector</t>
  </si>
  <si>
    <t>IV abx rocephin</t>
  </si>
  <si>
    <t>RT Tunneled IJ - MWF</t>
  </si>
  <si>
    <t xml:space="preserve">Unaccessed: </t>
  </si>
  <si>
    <t>High risk criteria includes:</t>
  </si>
  <si>
    <t>TPN through line recently</t>
  </si>
  <si>
    <t>Requiring frequent dressing changes</t>
  </si>
  <si>
    <t>Oozing, perspiration, weeping, uncontrolled moisture</t>
  </si>
  <si>
    <t>Suboptimal line site (IJ, groin)</t>
  </si>
  <si>
    <t>Fever, known infection risk</t>
  </si>
  <si>
    <t>Line manipulation</t>
  </si>
  <si>
    <t>Refusing bathing, dressing changes</t>
  </si>
  <si>
    <t>Line sluggish/unable to push or obtain blood return</t>
  </si>
  <si>
    <t>WT8 DC LIST</t>
  </si>
  <si>
    <t>LeaderActionItems</t>
  </si>
  <si>
    <t>NON-Clincal DC Barriers</t>
  </si>
  <si>
    <t>ConsultantsPending</t>
  </si>
  <si>
    <t>DCOrder</t>
  </si>
  <si>
    <t>MedRec</t>
  </si>
  <si>
    <t xml:space="preserve">  </t>
  </si>
  <si>
    <t>CTS</t>
  </si>
  <si>
    <t>CTS - s/o
ID - s/o
Add Med - s/o
GI - s/o</t>
  </si>
  <si>
    <t xml:space="preserve">CTS - s/o
Pulm - s/o
Nephro - 
Vasc sx - s/o
ID - </t>
  </si>
  <si>
    <t>AM</t>
  </si>
  <si>
    <t>WT8 UNIT GUIDE</t>
  </si>
  <si>
    <t>DIRECT LINK TO UNIT GUIDECLICK HERE</t>
  </si>
  <si>
    <t>Non-Clinical DC Barrier</t>
  </si>
  <si>
    <t>CHAIR</t>
  </si>
  <si>
    <t>COUCH</t>
  </si>
  <si>
    <t>N</t>
  </si>
  <si>
    <t>HOME</t>
  </si>
  <si>
    <t>CVC</t>
  </si>
  <si>
    <t>Y</t>
  </si>
  <si>
    <t>NO</t>
  </si>
  <si>
    <t>FOLEY</t>
  </si>
  <si>
    <t>ALF</t>
  </si>
  <si>
    <t>HOSPICE</t>
  </si>
  <si>
    <t>PORT</t>
  </si>
  <si>
    <t>TUNNELED/ SUBCLAVIAN</t>
  </si>
  <si>
    <t>POD1 VATS w/ Hendriksen x1CT. RRT today for hypotension, 500ml bolus given. BPs stable.</t>
  </si>
  <si>
    <t xml:space="preserve">s/p Left leg Debulking, PT lymph eval today, 24hrs reeval tomorrow &amp; dc. </t>
  </si>
  <si>
    <t>Sotalol dosing nightly dosing. 1/6</t>
  </si>
  <si>
    <t xml:space="preserve">POD1 Tracheal dilation. pend Karius cx. </t>
  </si>
  <si>
    <t>CABG 9/17 Suarez. ID &amp; Podiatry cleared for surgery. lymph wraps 9/15</t>
  </si>
  <si>
    <t xml:space="preserve">POD 15 Thoracotomy, decortication, x1 CT remain, back to - 10, continue heparin gtt, Diet advanced to regular. x3 ileostomy </t>
  </si>
  <si>
    <t>Pend ID &amp; Cardio clearances. IPR auth can take up to 48hrs. HD this AM
ablation 9/17
ID s/o
Vasc Sx - said okay for A/C</t>
  </si>
  <si>
    <t>Laurence Morrell</t>
  </si>
  <si>
    <t>chest pain, PCI 9/17</t>
  </si>
  <si>
    <t>Alexis Lowe</t>
  </si>
  <si>
    <t>CT showed pneumomediastinum, Transferred here for CTS consult</t>
  </si>
  <si>
    <t>Beverly Colella</t>
  </si>
  <si>
    <t>albation w/ Mondal 915, pulm consulted for Pulm htn</t>
  </si>
  <si>
    <t>POD 2 RLE Reconstruction and debridement w muscle flap and wound vac. - Dr. Kahramangil WILL GO BACK TO OR THURSDAY FOR SKIN GRAFT, 2 JP drains</t>
  </si>
  <si>
    <t>Belton V. Dunagan</t>
  </si>
  <si>
    <t>s/p left radical nephrectomy and splenectomy, IVC thrombectomy , removal of right atrial mass, cardiopulmonary bypass w/ Weaver and Boyer, failed barium swallow - ENT consulted</t>
  </si>
  <si>
    <t>Canas, Laura</t>
  </si>
  <si>
    <t>Pneumomediastinum</t>
  </si>
  <si>
    <t>Palpitations</t>
  </si>
  <si>
    <t>Left renal mass</t>
  </si>
  <si>
    <t>left radical nephrectomy and splenectomy, IVC thrombectomy , removal of right atrial mass, cardiopulmonary bypass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</si>
</sst>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(* #,##0.00_);_(* \(#,##0.00\);_(* \-??_);_(@_)"/>
    <numFmt numFmtId="166" formatCode="m/d;@"/>
  </numFmts>
  <fonts count="128">
    <font>
      <sz val="11"/>
      <color theme="1"/>
      <name val="Aptos Narrow"/>
      <family val="2"/>
      <charset val="1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0"/>
      <color theme="1"/>
      <name val="Aptos Narrow"/>
      <family val="2"/>
      <charset val="1"/>
    </font>
    <font>
      <b/>
      <sz val="18"/>
      <color theme="1"/>
      <name val="Aptos Narrow"/>
      <family val="2"/>
      <charset val="1"/>
    </font>
    <font>
      <sz val="20"/>
      <color theme="1"/>
      <name val="Aptos Narrow"/>
      <family val="2"/>
      <charset val="1"/>
    </font>
    <font>
      <sz val="12"/>
      <color theme="1"/>
      <name val="Aptos Narrow"/>
      <family val="2"/>
      <charset val="1"/>
    </font>
    <font>
      <b/>
      <sz val="11"/>
      <color theme="1"/>
      <name val="Aptos Narrow"/>
      <family val="2"/>
      <charset val="1"/>
    </font>
    <font>
      <sz val="18"/>
      <color theme="1"/>
      <name val="Aptos Narrow"/>
      <family val="2"/>
      <charset val="1"/>
    </font>
    <font>
      <sz val="16"/>
      <color theme="1"/>
      <name val="Aptos Narrow"/>
      <family val="2"/>
      <charset val="1"/>
    </font>
    <font>
      <b/>
      <sz val="12"/>
      <color theme="0"/>
      <name val="Aptos Narrow"/>
      <family val="2"/>
      <charset val="1"/>
    </font>
    <font>
      <u/>
      <sz val="11"/>
      <color theme="10"/>
      <name val="Aptos Narrow"/>
      <family val="2"/>
      <charset val="1"/>
    </font>
    <font>
      <sz val="11"/>
      <color rgb="FF000000"/>
      <name val="Aptos Narrow"/>
      <family val="2"/>
    </font>
    <font>
      <sz val="11"/>
      <color theme="1"/>
      <name val="Aptos Narrow"/>
      <family val="2"/>
      <charset val="1"/>
    </font>
    <font>
      <b/>
      <sz val="11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11"/>
      <name val="Aptos Narrow"/>
      <family val="2"/>
      <scheme val="minor"/>
    </font>
    <font>
      <sz val="10"/>
      <color theme="1"/>
      <name val="Aptos Narrow"/>
      <family val="2"/>
      <scheme val="minor"/>
    </font>
    <font>
      <sz val="10"/>
      <color theme="1"/>
      <name val="Aptos Narrow"/>
      <family val="2"/>
    </font>
    <font>
      <sz val="8"/>
      <name val="Aptos Narrow"/>
      <family val="2"/>
      <charset val="1"/>
    </font>
    <font>
      <sz val="18"/>
      <color theme="1"/>
      <name val="Aptos Narrow"/>
      <family val="2"/>
    </font>
    <font>
      <b/>
      <sz val="11"/>
      <color theme="1"/>
      <name val="Aptos Narrow"/>
      <family val="2"/>
    </font>
    <font>
      <sz val="11"/>
      <color theme="1"/>
      <name val="Aptos Narrow"/>
      <family val="2"/>
    </font>
    <font>
      <sz val="10"/>
      <name val="Aptos Narrow"/>
      <family val="2"/>
    </font>
    <font>
      <sz val="11"/>
      <name val="Aptos Narrow"/>
      <family val="2"/>
    </font>
    <font>
      <sz val="16"/>
      <color theme="1"/>
      <name val="Aptos Narrow"/>
      <family val="2"/>
    </font>
    <font>
      <b/>
      <sz val="10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10"/>
      <color theme="0"/>
      <name val="Aptos Narrow"/>
      <family val="2"/>
      <scheme val="minor"/>
    </font>
    <font>
      <b/>
      <sz val="9"/>
      <color theme="0"/>
      <name val="Aptos Narrow"/>
      <family val="2"/>
      <scheme val="minor"/>
    </font>
    <font>
      <sz val="13"/>
      <color theme="1"/>
      <name val="Aptos Narrow"/>
      <family val="2"/>
      <charset val="1"/>
    </font>
    <font>
      <sz val="13"/>
      <color theme="1"/>
      <name val="Aptos Narrow"/>
      <family val="2"/>
    </font>
    <font>
      <sz val="13"/>
      <color rgb="FF000000"/>
      <name val="Aptos Narrow"/>
      <family val="2"/>
      <charset val="1"/>
    </font>
    <font>
      <sz val="13"/>
      <color rgb="FF000000"/>
      <name val="Aptos Narrow"/>
      <family val="2"/>
    </font>
    <font>
      <b/>
      <sz val="13"/>
      <color rgb="FF000000"/>
      <name val="Aptos Narrow"/>
      <family val="2"/>
    </font>
    <font>
      <b/>
      <sz val="11"/>
      <color theme="0"/>
      <name val="Aptos Narrow"/>
      <family val="2"/>
      <charset val="1"/>
    </font>
    <font>
      <sz val="13"/>
      <color rgb="FF000000"/>
      <name val="Aptos Narrow"/>
      <family val="2"/>
      <scheme val="minor"/>
    </font>
    <font>
      <b/>
      <sz val="11"/>
      <color rgb="FFFF0000"/>
      <name val="Aptos Narrow"/>
      <family val="2"/>
    </font>
    <font>
      <u/>
      <sz val="28"/>
      <color theme="10"/>
      <name val="Aptos Narrow"/>
      <family val="2"/>
      <charset val="1"/>
    </font>
    <font>
      <u/>
      <sz val="24"/>
      <color theme="10"/>
      <name val="Aptos Narrow"/>
      <family val="2"/>
      <charset val="1"/>
    </font>
    <font>
      <sz val="10"/>
      <color theme="1"/>
      <name val="Arial Narrow"/>
      <family val="2"/>
    </font>
    <font>
      <sz val="14"/>
      <color theme="1"/>
      <name val="Arial Narrow"/>
      <family val="2"/>
    </font>
    <font>
      <b/>
      <sz val="12"/>
      <color rgb="FF000000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sz val="14"/>
      <color rgb="FF000000"/>
      <name val="Arial"/>
      <family val="2"/>
    </font>
    <font>
      <b/>
      <sz val="12"/>
      <color theme="1"/>
      <name val="Arial"/>
      <family val="2"/>
    </font>
    <font>
      <sz val="10"/>
      <color theme="1"/>
      <name val="Arial"/>
      <family val="2"/>
    </font>
    <font>
      <b/>
      <sz val="14"/>
      <color theme="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Arial"/>
      <family val="2"/>
    </font>
    <font>
      <b/>
      <sz val="16"/>
      <color theme="1"/>
      <name val="Arial"/>
      <family val="2"/>
    </font>
    <font>
      <b/>
      <sz val="12"/>
      <color theme="0"/>
      <name val="Arial"/>
      <family val="2"/>
    </font>
    <font>
      <b/>
      <u/>
      <sz val="14"/>
      <color rgb="FF0000FF"/>
      <name val="Arial"/>
      <family val="2"/>
    </font>
    <font>
      <b/>
      <sz val="12"/>
      <color rgb="FFFFFFFF"/>
      <name val="Arial"/>
      <family val="2"/>
    </font>
    <font>
      <sz val="12"/>
      <color theme="1"/>
      <name val="Arial"/>
      <family val="2"/>
    </font>
    <font>
      <b/>
      <u/>
      <sz val="14"/>
      <color theme="10"/>
      <name val="Arial"/>
      <family val="2"/>
    </font>
    <font>
      <b/>
      <sz val="20"/>
      <color theme="1"/>
      <name val="Arial"/>
      <family val="2"/>
    </font>
    <font>
      <b/>
      <sz val="12"/>
      <color rgb="FFA02B93"/>
      <name val="Arial"/>
      <family val="2"/>
    </font>
    <font>
      <sz val="16"/>
      <color theme="1"/>
      <name val="Arial"/>
      <family val="2"/>
    </font>
    <font>
      <b/>
      <sz val="12"/>
      <name val="Arial"/>
      <family val="2"/>
    </font>
    <font>
      <b/>
      <u/>
      <sz val="18"/>
      <color theme="10"/>
      <name val="Arial"/>
      <family val="2"/>
    </font>
    <font>
      <b/>
      <sz val="14"/>
      <color theme="1"/>
      <name val="Arial"/>
      <family val="2"/>
    </font>
    <font>
      <u/>
      <sz val="14"/>
      <name val="Arial"/>
      <family val="2"/>
    </font>
    <font>
      <b/>
      <sz val="12"/>
      <color rgb="FFFF0000"/>
      <name val="Arial"/>
      <family val="2"/>
    </font>
    <font>
      <u/>
      <sz val="14"/>
      <color theme="10"/>
      <name val="Arial"/>
      <family val="2"/>
    </font>
    <font>
      <b/>
      <sz val="10"/>
      <color rgb="FF000000"/>
      <name val="Arial"/>
      <family val="2"/>
    </font>
    <font>
      <b/>
      <sz val="10"/>
      <color rgb="FFFF0000"/>
      <name val="Arial"/>
      <family val="2"/>
    </font>
    <font>
      <u/>
      <sz val="14"/>
      <color rgb="FF0070C0"/>
      <name val="Arial"/>
      <family val="2"/>
    </font>
    <font>
      <b/>
      <sz val="11"/>
      <color theme="1"/>
      <name val="Arial"/>
      <family val="2"/>
    </font>
    <font>
      <b/>
      <sz val="11"/>
      <color rgb="FF4EA72E"/>
      <name val="Arial"/>
      <family val="2"/>
    </font>
    <font>
      <sz val="24"/>
      <color theme="1"/>
      <name val="Arial"/>
      <family val="2"/>
    </font>
    <font>
      <sz val="14"/>
      <color theme="1"/>
      <name val="Arial"/>
      <family val="2"/>
    </font>
    <font>
      <b/>
      <u/>
      <sz val="12"/>
      <color theme="10"/>
      <name val="Arial"/>
      <family val="2"/>
    </font>
    <font>
      <b/>
      <u/>
      <sz val="16"/>
      <color theme="10"/>
      <name val="Aptos Narrow"/>
      <family val="2"/>
    </font>
    <font>
      <b/>
      <sz val="11"/>
      <color rgb="FF000000"/>
      <name val="Arial"/>
      <family val="2"/>
    </font>
    <font>
      <b/>
      <u/>
      <sz val="20"/>
      <color theme="10"/>
      <name val="Aptos Narrow"/>
      <family val="2"/>
    </font>
    <font>
      <b/>
      <sz val="11"/>
      <color rgb="FFFF0000"/>
      <name val="Aptos Narrow"/>
      <family val="2"/>
      <scheme val="minor"/>
    </font>
    <font>
      <sz val="11"/>
      <color rgb="FFA02B93"/>
      <name val="Arial"/>
      <family val="2"/>
    </font>
    <font>
      <sz val="26"/>
      <color theme="1"/>
      <name val="Aptos Narrow"/>
      <family val="2"/>
      <charset val="1"/>
    </font>
    <font>
      <b/>
      <sz val="12"/>
      <color rgb="FFA02B93"/>
      <name val="Arial Narrow"/>
      <family val="2"/>
    </font>
    <font>
      <b/>
      <sz val="12"/>
      <color rgb="FF0D0D0D"/>
      <name val="Arial"/>
      <family val="2"/>
    </font>
    <font>
      <u/>
      <sz val="16"/>
      <color theme="10"/>
      <name val="Aptos Narrow"/>
      <family val="2"/>
      <charset val="1"/>
    </font>
    <font>
      <sz val="16"/>
      <color theme="10"/>
      <name val="Aptos Narrow"/>
      <family val="2"/>
      <charset val="1"/>
    </font>
    <font>
      <b/>
      <sz val="12"/>
      <color rgb="FF00B0F0"/>
      <name val="Arial"/>
      <family val="2"/>
    </font>
    <font>
      <sz val="12"/>
      <color rgb="FFA02B93"/>
      <name val="Arial"/>
      <family val="2"/>
    </font>
    <font>
      <sz val="11"/>
      <color rgb="FF000000"/>
      <name val="Arial"/>
      <family val="2"/>
    </font>
    <font>
      <b/>
      <sz val="12"/>
      <color rgb="FFC00000"/>
      <name val="Arial"/>
      <family val="2"/>
    </font>
    <font>
      <sz val="11"/>
      <color rgb="FF616161"/>
      <name val="Segoe UI"/>
      <family val="2"/>
    </font>
    <font>
      <sz val="12"/>
      <color theme="1"/>
      <name val="Aptos Narrow"/>
      <family val="2"/>
    </font>
    <font>
      <b/>
      <u/>
      <sz val="12"/>
      <color theme="10"/>
      <name val="Aptos Narrow"/>
      <family val="2"/>
    </font>
    <font>
      <sz val="12"/>
      <color rgb="FF000000"/>
      <name val="Aptos Narrow"/>
      <family val="2"/>
    </font>
    <font>
      <sz val="16"/>
      <color theme="1"/>
      <name val="Aptos Narrow"/>
      <family val="2"/>
      <scheme val="minor"/>
    </font>
    <font>
      <sz val="11"/>
      <color rgb="FF000000"/>
      <name val="Aptos Narrow"/>
      <family val="2"/>
      <scheme val="minor"/>
    </font>
    <font>
      <b/>
      <sz val="16"/>
      <color rgb="FF000000"/>
      <name val="Aptos Narrow"/>
      <family val="2"/>
      <scheme val="minor"/>
    </font>
    <font>
      <i/>
      <sz val="11"/>
      <color theme="1"/>
      <name val="Aptos Narrow"/>
      <family val="2"/>
      <scheme val="minor"/>
    </font>
    <font>
      <sz val="10"/>
      <name val="Aptos Narrow"/>
      <family val="2"/>
      <scheme val="minor"/>
    </font>
    <font>
      <b/>
      <sz val="10"/>
      <name val="Aptos Narrow"/>
      <family val="2"/>
      <scheme val="minor"/>
    </font>
    <font>
      <b/>
      <sz val="10"/>
      <color rgb="FF000000"/>
      <name val="Aptos Narrow"/>
      <family val="2"/>
      <scheme val="minor"/>
    </font>
    <font>
      <b/>
      <sz val="11"/>
      <color rgb="FF0D0D0D"/>
      <name val="Aptos Narrow"/>
      <family val="2"/>
      <scheme val="minor"/>
    </font>
    <font>
      <b/>
      <sz val="11"/>
      <color rgb="FF000000"/>
      <name val="Aptos Narrow"/>
      <family val="2"/>
      <scheme val="minor"/>
    </font>
    <font>
      <i/>
      <sz val="10"/>
      <color theme="1"/>
      <name val="Aptos Narrow"/>
      <family val="2"/>
      <scheme val="minor"/>
    </font>
    <font>
      <b/>
      <u/>
      <sz val="14"/>
      <color rgb="FF0000FF"/>
      <name val="Aptos Narrow"/>
      <family val="2"/>
      <scheme val="minor"/>
    </font>
    <font>
      <b/>
      <u/>
      <sz val="14"/>
      <color rgb="FF0000FF"/>
      <name val="Aptos Narrow"/>
      <family val="2"/>
    </font>
    <font>
      <i/>
      <sz val="11"/>
      <color theme="1"/>
      <name val="Aptos Narrow"/>
      <family val="2"/>
    </font>
    <font>
      <b/>
      <sz val="9"/>
      <color theme="1"/>
      <name val="Aptos Narrow"/>
      <family val="2"/>
      <scheme val="minor"/>
    </font>
    <font>
      <sz val="11"/>
      <color rgb="FF0D0D0D"/>
      <name val="Aptos Narrow"/>
      <family val="2"/>
      <scheme val="minor"/>
    </font>
    <font>
      <b/>
      <sz val="11"/>
      <color rgb="FF000000"/>
      <name val="Aptos Narrow"/>
      <scheme val="minor"/>
    </font>
    <font>
      <sz val="11"/>
      <color rgb="FF000000"/>
      <name val="Aptos Narrow"/>
      <scheme val="minor"/>
    </font>
    <font>
      <sz val="11"/>
      <color theme="1"/>
      <name val="Aptos Narrow"/>
      <scheme val="minor"/>
    </font>
    <font>
      <b/>
      <sz val="11"/>
      <color theme="1"/>
      <name val="Aptos Narrow"/>
      <scheme val="minor"/>
    </font>
    <font>
      <sz val="10"/>
      <name val="Aptos Narrow"/>
      <scheme val="minor"/>
    </font>
    <font>
      <sz val="11"/>
      <name val="Aptos Narrow"/>
      <scheme val="minor"/>
    </font>
    <font>
      <b/>
      <sz val="11"/>
      <name val="Aptos Narrow"/>
      <scheme val="minor"/>
    </font>
    <font>
      <b/>
      <sz val="10"/>
      <name val="Aptos Narrow"/>
      <scheme val="minor"/>
    </font>
    <font>
      <b/>
      <sz val="10"/>
      <color rgb="FF000000"/>
      <name val="Aptos Narrow"/>
      <scheme val="minor"/>
    </font>
    <font>
      <sz val="11"/>
      <color rgb="FF0D0D0D"/>
      <name val="Aptos Narrow"/>
      <scheme val="minor"/>
    </font>
  </fonts>
  <fills count="45">
    <fill>
      <patternFill patternType="none"/>
    </fill>
    <fill>
      <patternFill patternType="gray125"/>
    </fill>
    <fill>
      <patternFill patternType="solid">
        <fgColor rgb="FF00B0F0"/>
        <bgColor rgb="FF0099FF"/>
      </patternFill>
    </fill>
    <fill>
      <patternFill patternType="solid">
        <fgColor theme="5"/>
        <bgColor rgb="FFFF6699"/>
      </patternFill>
    </fill>
    <fill>
      <patternFill patternType="solid">
        <fgColor theme="7" tint="0.79989013336588644"/>
        <bgColor rgb="FFC1E5F5"/>
      </patternFill>
    </fill>
    <fill>
      <patternFill patternType="solid">
        <fgColor rgb="FF0099FF"/>
        <bgColor rgb="FF00B0F0"/>
      </patternFill>
    </fill>
    <fill>
      <patternFill patternType="solid">
        <fgColor rgb="FF00FFFF"/>
        <bgColor rgb="FF66FFCC"/>
      </patternFill>
    </fill>
    <fill>
      <patternFill patternType="solid">
        <fgColor rgb="FF0000FF"/>
        <bgColor rgb="FF0000FF"/>
      </patternFill>
    </fill>
    <fill>
      <patternFill patternType="solid">
        <fgColor rgb="FFFF6699"/>
        <bgColor rgb="FFE97132"/>
      </patternFill>
    </fill>
    <fill>
      <patternFill patternType="solid">
        <fgColor theme="9" tint="0.59987182226020086"/>
        <bgColor rgb="FFC6EFCE"/>
      </patternFill>
    </fill>
    <fill>
      <patternFill patternType="solid">
        <fgColor theme="4" tint="0.59987182226020086"/>
        <bgColor rgb="FF96DCF8"/>
      </patternFill>
    </fill>
    <fill>
      <patternFill patternType="solid">
        <fgColor rgb="FF66FFCC"/>
        <bgColor rgb="FF96DCF8"/>
      </patternFill>
    </fill>
    <fill>
      <patternFill patternType="solid">
        <fgColor theme="9"/>
        <bgColor rgb="FF70AD47"/>
      </patternFill>
    </fill>
    <fill>
      <patternFill patternType="solid">
        <fgColor rgb="FF002060"/>
        <bgColor rgb="FF000080"/>
      </patternFill>
    </fill>
    <fill>
      <patternFill patternType="solid">
        <fgColor theme="5" tint="0.39988402966399123"/>
        <bgColor rgb="FFE59EDD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5" tint="0.59999389629810485"/>
        <bgColor indexed="65"/>
      </patternFill>
    </fill>
    <fill>
      <patternFill patternType="solid">
        <fgColor rgb="FFCEECFA"/>
        <bgColor indexed="64"/>
      </patternFill>
    </fill>
    <fill>
      <patternFill patternType="solid">
        <fgColor rgb="FFFFDBEB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4" tint="0.39997558519241921"/>
        <bgColor rgb="FF0000FF"/>
      </patternFill>
    </fill>
    <fill>
      <patternFill patternType="solid">
        <fgColor rgb="FFFFE8F2"/>
        <bgColor indexed="64"/>
      </patternFill>
    </fill>
    <fill>
      <patternFill patternType="solid">
        <fgColor theme="0"/>
        <bgColor rgb="FF70AD47"/>
      </patternFill>
    </fill>
    <fill>
      <patternFill patternType="solid">
        <fgColor theme="7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0000FF"/>
        <bgColor indexed="64"/>
      </patternFill>
    </fill>
  </fills>
  <borders count="4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rgb="FF000000"/>
      </top>
      <bottom/>
      <diagonal/>
    </border>
    <border>
      <left style="medium">
        <color auto="1"/>
      </left>
      <right style="medium">
        <color auto="1"/>
      </right>
      <top/>
      <bottom/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</borders>
  <cellStyleXfs count="17">
    <xf numFmtId="0" fontId="0" fillId="0" borderId="0"/>
    <xf numFmtId="164" fontId="23" fillId="0" borderId="0" applyBorder="0" applyProtection="0"/>
    <xf numFmtId="0" fontId="21" fillId="0" borderId="0" applyBorder="0" applyProtection="0"/>
    <xf numFmtId="0" fontId="12" fillId="0" borderId="0"/>
    <xf numFmtId="0" fontId="11" fillId="0" borderId="0"/>
    <xf numFmtId="0" fontId="10" fillId="28" borderId="0" applyNumberFormat="0" applyBorder="0" applyAlignment="0" applyProtection="0"/>
    <xf numFmtId="0" fontId="34" fillId="0" borderId="0"/>
    <xf numFmtId="0" fontId="9" fillId="0" borderId="0"/>
    <xf numFmtId="0" fontId="8" fillId="0" borderId="0"/>
    <xf numFmtId="0" fontId="7" fillId="0" borderId="0"/>
    <xf numFmtId="0" fontId="6" fillId="0" borderId="0"/>
    <xf numFmtId="0" fontId="23" fillId="0" borderId="0"/>
    <xf numFmtId="0" fontId="5" fillId="0" borderId="0"/>
    <xf numFmtId="9" fontId="23" fillId="0" borderId="0" applyFont="0" applyFill="0" applyBorder="0" applyAlignment="0" applyProtection="0"/>
    <xf numFmtId="0" fontId="4" fillId="0" borderId="0"/>
    <xf numFmtId="0" fontId="3" fillId="0" borderId="0"/>
    <xf numFmtId="0" fontId="2" fillId="0" borderId="0"/>
  </cellStyleXfs>
  <cellXfs count="430">
    <xf numFmtId="0" fontId="0" fillId="0" borderId="0" xfId="0"/>
    <xf numFmtId="0" fontId="20" fillId="5" borderId="11" xfId="0" applyFont="1" applyFill="1" applyBorder="1" applyAlignment="1">
      <alignment horizontal="center" vertical="center"/>
    </xf>
    <xf numFmtId="0" fontId="14" fillId="0" borderId="0" xfId="0" applyFont="1" applyAlignment="1">
      <alignment horizontal="center"/>
    </xf>
    <xf numFmtId="0" fontId="17" fillId="0" borderId="0" xfId="0" applyFont="1"/>
    <xf numFmtId="0" fontId="0" fillId="0" borderId="0" xfId="0" applyAlignment="1">
      <alignment horizontal="right" textRotation="90"/>
    </xf>
    <xf numFmtId="0" fontId="17" fillId="0" borderId="0" xfId="0" applyFont="1" applyAlignment="1">
      <alignment horizontal="center"/>
    </xf>
    <xf numFmtId="14" fontId="30" fillId="0" borderId="0" xfId="0" applyNumberFormat="1" applyFont="1" applyAlignment="1">
      <alignment horizontal="center"/>
    </xf>
    <xf numFmtId="14" fontId="32" fillId="0" borderId="0" xfId="0" applyNumberFormat="1" applyFont="1" applyAlignment="1">
      <alignment horizontal="center"/>
    </xf>
    <xf numFmtId="0" fontId="0" fillId="0" borderId="0" xfId="0" applyAlignment="1">
      <alignment horizontal="center"/>
    </xf>
    <xf numFmtId="0" fontId="28" fillId="0" borderId="0" xfId="0" applyFont="1"/>
    <xf numFmtId="0" fontId="28" fillId="0" borderId="0" xfId="0" applyFont="1" applyAlignment="1">
      <alignment horizontal="center"/>
    </xf>
    <xf numFmtId="0" fontId="0" fillId="0" borderId="20" xfId="0" applyBorder="1"/>
    <xf numFmtId="0" fontId="28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33" fillId="0" borderId="0" xfId="0" applyFont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20" fillId="5" borderId="11" xfId="0" applyFont="1" applyFill="1" applyBorder="1" applyAlignment="1">
      <alignment horizontal="center" vertical="center" wrapText="1"/>
    </xf>
    <xf numFmtId="0" fontId="41" fillId="0" borderId="20" xfId="0" applyFont="1" applyBorder="1" applyAlignment="1">
      <alignment horizontal="center" vertical="center"/>
    </xf>
    <xf numFmtId="0" fontId="41" fillId="0" borderId="20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left" vertical="top" wrapText="1"/>
    </xf>
    <xf numFmtId="0" fontId="0" fillId="0" borderId="0" xfId="0" applyAlignment="1">
      <alignment horizontal="center" wrapText="1"/>
    </xf>
    <xf numFmtId="16" fontId="41" fillId="0" borderId="20" xfId="0" applyNumberFormat="1" applyFont="1" applyBorder="1" applyAlignment="1">
      <alignment horizontal="center" vertical="center"/>
    </xf>
    <xf numFmtId="0" fontId="43" fillId="0" borderId="20" xfId="0" applyFont="1" applyBorder="1" applyAlignment="1">
      <alignment horizontal="center" vertical="center" wrapText="1"/>
    </xf>
    <xf numFmtId="0" fontId="43" fillId="0" borderId="20" xfId="0" applyFont="1" applyBorder="1" applyAlignment="1">
      <alignment horizontal="center" vertical="center"/>
    </xf>
    <xf numFmtId="49" fontId="44" fillId="0" borderId="20" xfId="0" applyNumberFormat="1" applyFont="1" applyBorder="1" applyAlignment="1">
      <alignment horizontal="left" vertical="top" wrapText="1"/>
    </xf>
    <xf numFmtId="0" fontId="0" fillId="18" borderId="0" xfId="0" applyFill="1"/>
    <xf numFmtId="1" fontId="0" fillId="0" borderId="0" xfId="0" applyNumberFormat="1" applyAlignment="1">
      <alignment horizontal="left"/>
    </xf>
    <xf numFmtId="0" fontId="41" fillId="33" borderId="20" xfId="0" applyFont="1" applyFill="1" applyBorder="1" applyAlignment="1">
      <alignment horizontal="center" vertical="center"/>
    </xf>
    <xf numFmtId="49" fontId="44" fillId="33" borderId="20" xfId="0" applyNumberFormat="1" applyFont="1" applyFill="1" applyBorder="1" applyAlignment="1">
      <alignment horizontal="left" vertical="top" wrapText="1"/>
    </xf>
    <xf numFmtId="16" fontId="41" fillId="33" borderId="20" xfId="0" applyNumberFormat="1" applyFont="1" applyFill="1" applyBorder="1" applyAlignment="1">
      <alignment horizontal="center" vertical="center"/>
    </xf>
    <xf numFmtId="0" fontId="43" fillId="33" borderId="20" xfId="0" applyFont="1" applyFill="1" applyBorder="1" applyAlignment="1">
      <alignment horizontal="center" vertical="center" wrapText="1"/>
    </xf>
    <xf numFmtId="49" fontId="47" fillId="33" borderId="20" xfId="4" applyNumberFormat="1" applyFont="1" applyFill="1" applyBorder="1" applyAlignment="1">
      <alignment horizontal="left" vertical="top" wrapText="1"/>
    </xf>
    <xf numFmtId="0" fontId="43" fillId="33" borderId="20" xfId="0" applyFont="1" applyFill="1" applyBorder="1" applyAlignment="1">
      <alignment horizontal="center" vertical="center"/>
    </xf>
    <xf numFmtId="49" fontId="47" fillId="0" borderId="20" xfId="4" applyNumberFormat="1" applyFont="1" applyBorder="1" applyAlignment="1">
      <alignment horizontal="left" vertical="top" wrapText="1"/>
    </xf>
    <xf numFmtId="0" fontId="0" fillId="0" borderId="0" xfId="0" applyAlignment="1">
      <alignment horizontal="center" vertical="center" wrapText="1"/>
    </xf>
    <xf numFmtId="0" fontId="46" fillId="32" borderId="20" xfId="0" applyFont="1" applyFill="1" applyBorder="1" applyAlignment="1">
      <alignment horizontal="center" vertical="center"/>
    </xf>
    <xf numFmtId="1" fontId="40" fillId="32" borderId="20" xfId="4" applyNumberFormat="1" applyFont="1" applyFill="1" applyBorder="1" applyAlignment="1">
      <alignment horizontal="center" vertical="center" wrapText="1"/>
    </xf>
    <xf numFmtId="0" fontId="38" fillId="32" borderId="20" xfId="4" applyFont="1" applyFill="1" applyBorder="1" applyAlignment="1">
      <alignment horizontal="center" vertical="center" wrapText="1"/>
    </xf>
    <xf numFmtId="0" fontId="39" fillId="32" borderId="20" xfId="4" applyFont="1" applyFill="1" applyBorder="1" applyAlignment="1">
      <alignment horizontal="center" vertical="center" wrapText="1"/>
    </xf>
    <xf numFmtId="0" fontId="38" fillId="32" borderId="20" xfId="0" applyFont="1" applyFill="1" applyBorder="1" applyAlignment="1">
      <alignment horizontal="center" vertical="center"/>
    </xf>
    <xf numFmtId="0" fontId="38" fillId="32" borderId="20" xfId="0" applyFont="1" applyFill="1" applyBorder="1" applyAlignment="1">
      <alignment horizontal="center" vertical="center" wrapText="1"/>
    </xf>
    <xf numFmtId="0" fontId="37" fillId="32" borderId="20" xfId="5" applyFont="1" applyFill="1" applyBorder="1" applyAlignment="1">
      <alignment horizontal="center" wrapText="1"/>
    </xf>
    <xf numFmtId="16" fontId="43" fillId="33" borderId="20" xfId="0" applyNumberFormat="1" applyFont="1" applyFill="1" applyBorder="1" applyAlignment="1">
      <alignment horizontal="center" vertical="center"/>
    </xf>
    <xf numFmtId="16" fontId="43" fillId="0" borderId="20" xfId="0" applyNumberFormat="1" applyFont="1" applyBorder="1" applyAlignment="1">
      <alignment horizontal="center" vertical="center"/>
    </xf>
    <xf numFmtId="16" fontId="41" fillId="33" borderId="20" xfId="0" applyNumberFormat="1" applyFont="1" applyFill="1" applyBorder="1" applyAlignment="1">
      <alignment horizontal="center" vertical="center" wrapText="1"/>
    </xf>
    <xf numFmtId="0" fontId="0" fillId="0" borderId="20" xfId="0" applyBorder="1" applyAlignment="1">
      <alignment horizontal="center" vertical="center" wrapText="1"/>
    </xf>
    <xf numFmtId="0" fontId="0" fillId="0" borderId="20" xfId="0" applyBorder="1" applyAlignment="1">
      <alignment vertical="top" wrapText="1"/>
    </xf>
    <xf numFmtId="0" fontId="0" fillId="0" borderId="20" xfId="0" applyBorder="1" applyAlignment="1">
      <alignment horizontal="center" wrapText="1"/>
    </xf>
    <xf numFmtId="0" fontId="13" fillId="0" borderId="20" xfId="0" applyFont="1" applyBorder="1" applyAlignment="1">
      <alignment horizontal="center" vertical="center" wrapText="1"/>
    </xf>
    <xf numFmtId="0" fontId="42" fillId="0" borderId="20" xfId="0" applyFont="1" applyBorder="1" applyAlignment="1">
      <alignment horizontal="left" vertical="top" wrapText="1"/>
    </xf>
    <xf numFmtId="0" fontId="0" fillId="0" borderId="20" xfId="0" applyBorder="1" applyAlignment="1">
      <alignment horizontal="left" vertical="center"/>
    </xf>
    <xf numFmtId="0" fontId="41" fillId="33" borderId="20" xfId="0" applyFont="1" applyFill="1" applyBorder="1" applyAlignment="1">
      <alignment horizontal="left" vertical="center"/>
    </xf>
    <xf numFmtId="0" fontId="22" fillId="0" borderId="20" xfId="0" applyFont="1" applyBorder="1" applyAlignment="1">
      <alignment horizontal="left" vertical="top" wrapText="1"/>
    </xf>
    <xf numFmtId="0" fontId="44" fillId="0" borderId="20" xfId="0" applyFont="1" applyBorder="1" applyAlignment="1">
      <alignment horizontal="left" vertical="top" wrapText="1"/>
    </xf>
    <xf numFmtId="0" fontId="31" fillId="0" borderId="20" xfId="0" applyFont="1" applyBorder="1" applyAlignment="1">
      <alignment horizontal="left" vertical="top" wrapText="1"/>
    </xf>
    <xf numFmtId="0" fontId="31" fillId="0" borderId="20" xfId="0" applyFont="1" applyBorder="1" applyAlignment="1">
      <alignment horizontal="left" vertical="top"/>
    </xf>
    <xf numFmtId="0" fontId="32" fillId="33" borderId="20" xfId="0" applyFont="1" applyFill="1" applyBorder="1" applyAlignment="1">
      <alignment horizontal="center" vertical="center" wrapText="1"/>
    </xf>
    <xf numFmtId="0" fontId="32" fillId="0" borderId="20" xfId="0" applyFont="1" applyBorder="1" applyAlignment="1">
      <alignment horizontal="center" vertical="center" wrapText="1"/>
    </xf>
    <xf numFmtId="0" fontId="22" fillId="0" borderId="20" xfId="0" applyFont="1" applyBorder="1" applyAlignment="1">
      <alignment horizontal="center" vertical="center" wrapText="1"/>
    </xf>
    <xf numFmtId="0" fontId="31" fillId="33" borderId="20" xfId="0" applyFont="1" applyFill="1" applyBorder="1" applyAlignment="1">
      <alignment horizontal="center" vertical="center" wrapText="1"/>
    </xf>
    <xf numFmtId="0" fontId="22" fillId="33" borderId="20" xfId="0" applyFont="1" applyFill="1" applyBorder="1" applyAlignment="1">
      <alignment horizontal="center" vertical="center" wrapText="1"/>
    </xf>
    <xf numFmtId="0" fontId="48" fillId="0" borderId="20" xfId="0" applyFont="1" applyBorder="1" applyAlignment="1">
      <alignment horizontal="center" vertical="center" wrapText="1"/>
    </xf>
    <xf numFmtId="49" fontId="45" fillId="33" borderId="20" xfId="0" applyNumberFormat="1" applyFont="1" applyFill="1" applyBorder="1" applyAlignment="1">
      <alignment horizontal="left" vertical="top" wrapText="1"/>
    </xf>
    <xf numFmtId="1" fontId="16" fillId="33" borderId="20" xfId="0" applyNumberFormat="1" applyFont="1" applyFill="1" applyBorder="1" applyAlignment="1">
      <alignment horizontal="center" vertical="center"/>
    </xf>
    <xf numFmtId="0" fontId="18" fillId="0" borderId="0" xfId="0" applyFont="1" applyAlignment="1">
      <alignment horizontal="left" vertical="top" wrapText="1"/>
    </xf>
    <xf numFmtId="0" fontId="6" fillId="0" borderId="0" xfId="10" applyAlignment="1">
      <alignment wrapText="1"/>
    </xf>
    <xf numFmtId="166" fontId="19" fillId="0" borderId="0" xfId="0" applyNumberFormat="1" applyFont="1" applyAlignment="1">
      <alignment horizontal="left" vertical="top" wrapText="1"/>
    </xf>
    <xf numFmtId="0" fontId="19" fillId="0" borderId="0" xfId="0" applyFont="1" applyAlignment="1">
      <alignment horizontal="left" vertical="top" wrapText="1"/>
    </xf>
    <xf numFmtId="0" fontId="51" fillId="0" borderId="0" xfId="0" applyFont="1"/>
    <xf numFmtId="0" fontId="51" fillId="0" borderId="0" xfId="0" applyFont="1" applyAlignment="1">
      <alignment wrapText="1"/>
    </xf>
    <xf numFmtId="49" fontId="51" fillId="0" borderId="0" xfId="0" applyNumberFormat="1" applyFont="1"/>
    <xf numFmtId="49" fontId="51" fillId="0" borderId="0" xfId="0" applyNumberFormat="1" applyFont="1" applyAlignment="1">
      <alignment wrapText="1"/>
    </xf>
    <xf numFmtId="0" fontId="58" fillId="0" borderId="0" xfId="0" applyFont="1"/>
    <xf numFmtId="0" fontId="57" fillId="6" borderId="20" xfId="0" applyFont="1" applyFill="1" applyBorder="1" applyAlignment="1">
      <alignment horizontal="center" vertical="center"/>
    </xf>
    <xf numFmtId="0" fontId="57" fillId="0" borderId="20" xfId="0" applyFont="1" applyBorder="1" applyAlignment="1" applyProtection="1">
      <alignment horizontal="center" vertical="center"/>
      <protection locked="0"/>
    </xf>
    <xf numFmtId="0" fontId="57" fillId="6" borderId="20" xfId="0" applyFont="1" applyFill="1" applyBorder="1" applyAlignment="1">
      <alignment horizontal="center" vertical="center" wrapText="1"/>
    </xf>
    <xf numFmtId="0" fontId="61" fillId="0" borderId="0" xfId="0" applyFont="1"/>
    <xf numFmtId="49" fontId="57" fillId="16" borderId="20" xfId="0" applyNumberFormat="1" applyFont="1" applyFill="1" applyBorder="1" applyAlignment="1">
      <alignment horizontal="center" vertical="center" wrapText="1"/>
    </xf>
    <xf numFmtId="49" fontId="58" fillId="0" borderId="0" xfId="0" applyNumberFormat="1" applyFont="1"/>
    <xf numFmtId="49" fontId="66" fillId="0" borderId="20" xfId="0" applyNumberFormat="1" applyFont="1" applyBorder="1" applyAlignment="1" applyProtection="1">
      <alignment horizontal="center" vertical="center" wrapText="1"/>
      <protection locked="0"/>
    </xf>
    <xf numFmtId="49" fontId="66" fillId="0" borderId="20" xfId="0" applyNumberFormat="1" applyFont="1" applyBorder="1" applyAlignment="1" applyProtection="1">
      <alignment horizontal="center" vertical="center"/>
      <protection locked="0"/>
    </xf>
    <xf numFmtId="49" fontId="53" fillId="0" borderId="20" xfId="0" applyNumberFormat="1" applyFont="1" applyBorder="1" applyAlignment="1" applyProtection="1">
      <alignment horizontal="center" vertical="center" wrapText="1"/>
      <protection locked="0"/>
    </xf>
    <xf numFmtId="49" fontId="58" fillId="0" borderId="0" xfId="0" applyNumberFormat="1" applyFont="1" applyAlignment="1">
      <alignment vertical="top"/>
    </xf>
    <xf numFmtId="49" fontId="53" fillId="0" borderId="20" xfId="0" applyNumberFormat="1" applyFont="1" applyBorder="1" applyAlignment="1">
      <alignment horizontal="center" vertical="center" wrapText="1"/>
    </xf>
    <xf numFmtId="49" fontId="55" fillId="0" borderId="20" xfId="0" applyNumberFormat="1" applyFont="1" applyBorder="1" applyAlignment="1">
      <alignment horizontal="center" vertical="center" wrapText="1"/>
    </xf>
    <xf numFmtId="49" fontId="70" fillId="0" borderId="0" xfId="0" applyNumberFormat="1" applyFont="1"/>
    <xf numFmtId="49" fontId="58" fillId="0" borderId="0" xfId="0" applyNumberFormat="1" applyFont="1" applyAlignment="1">
      <alignment horizontal="left" vertical="center"/>
    </xf>
    <xf numFmtId="49" fontId="77" fillId="16" borderId="20" xfId="0" applyNumberFormat="1" applyFont="1" applyFill="1" applyBorder="1" applyAlignment="1" applyProtection="1">
      <alignment horizontal="center" vertical="center" wrapText="1"/>
      <protection locked="0"/>
    </xf>
    <xf numFmtId="49" fontId="53" fillId="21" borderId="20" xfId="0" applyNumberFormat="1" applyFont="1" applyFill="1" applyBorder="1" applyAlignment="1">
      <alignment horizontal="center" vertical="center" wrapText="1"/>
    </xf>
    <xf numFmtId="49" fontId="83" fillId="0" borderId="0" xfId="0" applyNumberFormat="1" applyFont="1" applyAlignment="1">
      <alignment horizontal="left" vertical="center"/>
    </xf>
    <xf numFmtId="0" fontId="84" fillId="34" borderId="4" xfId="2" applyFont="1" applyFill="1" applyBorder="1" applyAlignment="1">
      <alignment horizontal="center" wrapText="1"/>
    </xf>
    <xf numFmtId="49" fontId="53" fillId="3" borderId="20" xfId="0" applyNumberFormat="1" applyFont="1" applyFill="1" applyBorder="1" applyAlignment="1">
      <alignment horizontal="center" vertical="center" wrapText="1"/>
    </xf>
    <xf numFmtId="0" fontId="74" fillId="0" borderId="12" xfId="2" applyFont="1" applyBorder="1" applyAlignment="1">
      <alignment horizontal="center" vertical="center" wrapText="1"/>
    </xf>
    <xf numFmtId="0" fontId="76" fillId="0" borderId="15" xfId="2" applyFont="1" applyBorder="1" applyAlignment="1">
      <alignment horizontal="center" vertical="center" wrapText="1"/>
    </xf>
    <xf numFmtId="0" fontId="74" fillId="0" borderId="38" xfId="2" applyFont="1" applyBorder="1" applyAlignment="1">
      <alignment horizontal="center" vertical="center" wrapText="1"/>
    </xf>
    <xf numFmtId="49" fontId="76" fillId="0" borderId="37" xfId="2" applyNumberFormat="1" applyFont="1" applyBorder="1" applyAlignment="1">
      <alignment horizontal="center" vertical="center" wrapText="1"/>
    </xf>
    <xf numFmtId="0" fontId="79" fillId="0" borderId="15" xfId="2" applyFont="1" applyBorder="1" applyAlignment="1">
      <alignment horizontal="center" vertical="center" wrapText="1"/>
    </xf>
    <xf numFmtId="0" fontId="79" fillId="0" borderId="15" xfId="2" applyFont="1" applyBorder="1" applyAlignment="1">
      <alignment horizontal="center" wrapText="1"/>
    </xf>
    <xf numFmtId="0" fontId="76" fillId="0" borderId="38" xfId="2" applyFont="1" applyBorder="1" applyAlignment="1">
      <alignment horizontal="center" wrapText="1"/>
    </xf>
    <xf numFmtId="0" fontId="52" fillId="0" borderId="0" xfId="0" applyFont="1" applyAlignment="1">
      <alignment wrapText="1"/>
    </xf>
    <xf numFmtId="0" fontId="59" fillId="5" borderId="11" xfId="0" applyFont="1" applyFill="1" applyBorder="1" applyAlignment="1">
      <alignment horizontal="center" vertical="center" wrapText="1"/>
    </xf>
    <xf numFmtId="0" fontId="59" fillId="35" borderId="4" xfId="0" applyFont="1" applyFill="1" applyBorder="1" applyAlignment="1">
      <alignment horizontal="center" vertical="center" wrapText="1"/>
    </xf>
    <xf numFmtId="0" fontId="59" fillId="7" borderId="4" xfId="0" applyFont="1" applyFill="1" applyBorder="1" applyAlignment="1">
      <alignment horizontal="center" vertical="center" wrapText="1"/>
    </xf>
    <xf numFmtId="49" fontId="64" fillId="0" borderId="27" xfId="2" applyNumberFormat="1" applyFont="1" applyBorder="1" applyAlignment="1">
      <alignment horizontal="center" vertical="center" wrapText="1"/>
    </xf>
    <xf numFmtId="0" fontId="67" fillId="0" borderId="27" xfId="2" applyFont="1" applyBorder="1" applyAlignment="1">
      <alignment horizontal="center" vertical="center" wrapText="1"/>
    </xf>
    <xf numFmtId="0" fontId="57" fillId="0" borderId="20" xfId="0" applyFont="1" applyBorder="1" applyAlignment="1" applyProtection="1">
      <alignment horizontal="center" vertical="center" wrapText="1"/>
      <protection locked="0"/>
    </xf>
    <xf numFmtId="49" fontId="56" fillId="0" borderId="20" xfId="0" applyNumberFormat="1" applyFont="1" applyBorder="1" applyAlignment="1" applyProtection="1">
      <alignment horizontal="center" vertical="center" wrapText="1"/>
      <protection locked="0"/>
    </xf>
    <xf numFmtId="49" fontId="54" fillId="0" borderId="20" xfId="0" applyNumberFormat="1" applyFont="1" applyBorder="1" applyAlignment="1" applyProtection="1">
      <alignment horizontal="center" vertical="center" wrapText="1"/>
      <protection locked="0"/>
    </xf>
    <xf numFmtId="49" fontId="54" fillId="0" borderId="20" xfId="0" applyNumberFormat="1" applyFont="1" applyBorder="1" applyAlignment="1" applyProtection="1">
      <alignment horizontal="left" vertical="top" wrapText="1"/>
      <protection locked="0"/>
    </xf>
    <xf numFmtId="49" fontId="53" fillId="0" borderId="20" xfId="0" applyNumberFormat="1" applyFont="1" applyBorder="1" applyAlignment="1" applyProtection="1">
      <alignment horizontal="center" vertical="center"/>
      <protection locked="0"/>
    </xf>
    <xf numFmtId="49" fontId="69" fillId="0" borderId="20" xfId="0" applyNumberFormat="1" applyFont="1" applyBorder="1" applyAlignment="1">
      <alignment wrapText="1"/>
    </xf>
    <xf numFmtId="49" fontId="77" fillId="0" borderId="20" xfId="0" applyNumberFormat="1" applyFont="1" applyBorder="1" applyAlignment="1" applyProtection="1">
      <alignment horizontal="left" vertical="top" wrapText="1"/>
      <protection locked="0"/>
    </xf>
    <xf numFmtId="49" fontId="75" fillId="0" borderId="20" xfId="0" applyNumberFormat="1" applyFont="1" applyBorder="1" applyAlignment="1" applyProtection="1">
      <alignment horizontal="left" vertical="top" wrapText="1"/>
      <protection locked="0"/>
    </xf>
    <xf numFmtId="0" fontId="67" fillId="18" borderId="7" xfId="2" applyFont="1" applyFill="1" applyBorder="1" applyAlignment="1">
      <alignment horizontal="center" vertical="center" wrapText="1"/>
    </xf>
    <xf numFmtId="0" fontId="72" fillId="18" borderId="39" xfId="2" applyFont="1" applyFill="1" applyBorder="1" applyAlignment="1">
      <alignment horizontal="center" vertical="center" wrapText="1"/>
    </xf>
    <xf numFmtId="49" fontId="58" fillId="0" borderId="0" xfId="0" applyNumberFormat="1" applyFont="1" applyAlignment="1">
      <alignment horizontal="left" vertical="center" wrapText="1"/>
    </xf>
    <xf numFmtId="0" fontId="67" fillId="0" borderId="37" xfId="2" applyFont="1" applyBorder="1" applyAlignment="1">
      <alignment horizontal="center" vertical="center" wrapText="1"/>
    </xf>
    <xf numFmtId="0" fontId="60" fillId="0" borderId="11" xfId="2" applyFont="1" applyBorder="1"/>
    <xf numFmtId="49" fontId="80" fillId="0" borderId="20" xfId="0" applyNumberFormat="1" applyFont="1" applyBorder="1" applyAlignment="1" applyProtection="1">
      <alignment horizontal="center" vertical="center" wrapText="1"/>
      <protection locked="0"/>
    </xf>
    <xf numFmtId="49" fontId="86" fillId="0" borderId="20" xfId="0" applyNumberFormat="1" applyFont="1" applyBorder="1" applyAlignment="1" applyProtection="1">
      <alignment horizontal="center" vertical="center" wrapText="1"/>
      <protection locked="0"/>
    </xf>
    <xf numFmtId="49" fontId="80" fillId="0" borderId="20" xfId="0" applyNumberFormat="1" applyFont="1" applyBorder="1" applyAlignment="1">
      <alignment horizontal="center" vertical="center" wrapText="1"/>
    </xf>
    <xf numFmtId="49" fontId="53" fillId="30" borderId="20" xfId="0" applyNumberFormat="1" applyFont="1" applyFill="1" applyBorder="1" applyAlignment="1" applyProtection="1">
      <alignment vertical="top" wrapText="1"/>
      <protection locked="0"/>
    </xf>
    <xf numFmtId="0" fontId="84" fillId="0" borderId="31" xfId="2" applyFont="1" applyBorder="1" applyAlignment="1">
      <alignment horizontal="center" vertical="center" wrapText="1"/>
    </xf>
    <xf numFmtId="0" fontId="87" fillId="20" borderId="15" xfId="2" applyFont="1" applyFill="1" applyBorder="1" applyAlignment="1">
      <alignment horizontal="center"/>
    </xf>
    <xf numFmtId="49" fontId="86" fillId="17" borderId="20" xfId="0" applyNumberFormat="1" applyFont="1" applyFill="1" applyBorder="1" applyAlignment="1">
      <alignment horizontal="center" vertical="center" wrapText="1"/>
    </xf>
    <xf numFmtId="49" fontId="86" fillId="21" borderId="20" xfId="0" applyNumberFormat="1" applyFont="1" applyFill="1" applyBorder="1" applyAlignment="1">
      <alignment horizontal="center" vertical="center" wrapText="1"/>
    </xf>
    <xf numFmtId="14" fontId="57" fillId="0" borderId="20" xfId="0" applyNumberFormat="1" applyFont="1" applyBorder="1" applyAlignment="1">
      <alignment horizontal="center" vertical="center" wrapText="1"/>
    </xf>
    <xf numFmtId="0" fontId="57" fillId="16" borderId="20" xfId="0" applyFont="1" applyFill="1" applyBorder="1" applyAlignment="1">
      <alignment horizontal="center" vertical="center" wrapText="1"/>
    </xf>
    <xf numFmtId="14" fontId="58" fillId="0" borderId="20" xfId="0" applyNumberFormat="1" applyFont="1" applyBorder="1" applyAlignment="1">
      <alignment wrapText="1"/>
    </xf>
    <xf numFmtId="49" fontId="63" fillId="27" borderId="20" xfId="0" applyNumberFormat="1" applyFont="1" applyFill="1" applyBorder="1" applyAlignment="1">
      <alignment horizontal="center" vertical="center" wrapText="1"/>
    </xf>
    <xf numFmtId="0" fontId="82" fillId="0" borderId="0" xfId="0" applyFont="1"/>
    <xf numFmtId="0" fontId="87" fillId="20" borderId="31" xfId="2" applyFont="1" applyFill="1" applyBorder="1" applyAlignment="1">
      <alignment horizontal="center" vertical="center"/>
    </xf>
    <xf numFmtId="0" fontId="85" fillId="20" borderId="15" xfId="2" applyFont="1" applyFill="1" applyBorder="1" applyAlignment="1">
      <alignment horizontal="center" vertical="center"/>
    </xf>
    <xf numFmtId="0" fontId="76" fillId="0" borderId="0" xfId="2" applyFont="1" applyBorder="1" applyAlignment="1">
      <alignment horizontal="center" vertical="center" wrapText="1"/>
    </xf>
    <xf numFmtId="49" fontId="53" fillId="36" borderId="20" xfId="0" applyNumberFormat="1" applyFont="1" applyFill="1" applyBorder="1" applyAlignment="1">
      <alignment horizontal="center" vertical="center" wrapText="1"/>
    </xf>
    <xf numFmtId="49" fontId="92" fillId="36" borderId="20" xfId="0" applyNumberFormat="1" applyFont="1" applyFill="1" applyBorder="1" applyAlignment="1">
      <alignment horizontal="center" vertical="center" wrapText="1"/>
    </xf>
    <xf numFmtId="0" fontId="67" fillId="0" borderId="38" xfId="2" applyFont="1" applyBorder="1" applyAlignment="1">
      <alignment horizontal="center" vertical="center" wrapText="1"/>
    </xf>
    <xf numFmtId="49" fontId="78" fillId="16" borderId="20" xfId="0" applyNumberFormat="1" applyFont="1" applyFill="1" applyBorder="1" applyAlignment="1" applyProtection="1">
      <alignment horizontal="left" vertical="center" wrapText="1"/>
      <protection locked="0"/>
    </xf>
    <xf numFmtId="0" fontId="93" fillId="0" borderId="27" xfId="2" applyFont="1" applyBorder="1" applyAlignment="1">
      <alignment horizontal="left" vertical="center"/>
    </xf>
    <xf numFmtId="49" fontId="68" fillId="26" borderId="15" xfId="0" applyNumberFormat="1" applyFont="1" applyFill="1" applyBorder="1" applyAlignment="1">
      <alignment vertical="center"/>
    </xf>
    <xf numFmtId="49" fontId="68" fillId="0" borderId="38" xfId="0" applyNumberFormat="1" applyFont="1" applyBorder="1" applyAlignment="1">
      <alignment vertical="center"/>
    </xf>
    <xf numFmtId="49" fontId="68" fillId="0" borderId="12" xfId="0" applyNumberFormat="1" applyFont="1" applyBorder="1" applyAlignment="1">
      <alignment vertical="center"/>
    </xf>
    <xf numFmtId="49" fontId="77" fillId="21" borderId="20" xfId="0" applyNumberFormat="1" applyFont="1" applyFill="1" applyBorder="1" applyAlignment="1">
      <alignment horizontal="center" vertical="center" wrapText="1"/>
    </xf>
    <xf numFmtId="49" fontId="91" fillId="0" borderId="0" xfId="0" applyNumberFormat="1" applyFont="1" applyAlignment="1">
      <alignment wrapText="1"/>
    </xf>
    <xf numFmtId="49" fontId="51" fillId="0" borderId="29" xfId="0" applyNumberFormat="1" applyFont="1" applyBorder="1" applyAlignment="1">
      <alignment horizontal="center" wrapText="1"/>
    </xf>
    <xf numFmtId="0" fontId="51" fillId="0" borderId="26" xfId="0" applyFont="1" applyBorder="1" applyAlignment="1">
      <alignment wrapText="1"/>
    </xf>
    <xf numFmtId="0" fontId="51" fillId="0" borderId="26" xfId="0" applyFont="1" applyBorder="1" applyAlignment="1">
      <alignment horizontal="center"/>
    </xf>
    <xf numFmtId="0" fontId="51" fillId="0" borderId="42" xfId="0" applyFont="1" applyBorder="1" applyAlignment="1">
      <alignment wrapText="1"/>
    </xf>
    <xf numFmtId="49" fontId="62" fillId="15" borderId="15" xfId="0" applyNumberFormat="1" applyFont="1" applyFill="1" applyBorder="1" applyAlignment="1">
      <alignment horizontal="center" vertical="center"/>
    </xf>
    <xf numFmtId="0" fontId="85" fillId="19" borderId="0" xfId="2" applyFont="1" applyFill="1"/>
    <xf numFmtId="49" fontId="97" fillId="0" borderId="20" xfId="0" applyNumberFormat="1" applyFont="1" applyBorder="1" applyAlignment="1" applyProtection="1">
      <alignment horizontal="center" vertical="center" wrapText="1"/>
      <protection locked="0"/>
    </xf>
    <xf numFmtId="49" fontId="98" fillId="0" borderId="20" xfId="0" applyNumberFormat="1" applyFont="1" applyBorder="1" applyAlignment="1" applyProtection="1">
      <alignment horizontal="left" vertical="top" wrapText="1"/>
      <protection locked="0"/>
    </xf>
    <xf numFmtId="0" fontId="54" fillId="0" borderId="20" xfId="0" applyFont="1" applyBorder="1" applyAlignment="1">
      <alignment vertical="top" wrapText="1"/>
    </xf>
    <xf numFmtId="49" fontId="96" fillId="0" borderId="2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57" fillId="2" borderId="0" xfId="0" applyFont="1" applyFill="1" applyAlignment="1" applyProtection="1">
      <alignment horizontal="center" vertical="center"/>
      <protection locked="0"/>
    </xf>
    <xf numFmtId="0" fontId="57" fillId="0" borderId="0" xfId="0" applyFont="1" applyAlignment="1" applyProtection="1">
      <alignment horizontal="center" vertical="center" wrapText="1"/>
      <protection locked="0"/>
    </xf>
    <xf numFmtId="49" fontId="62" fillId="9" borderId="0" xfId="0" applyNumberFormat="1" applyFont="1" applyFill="1" applyAlignment="1">
      <alignment horizontal="center" vertical="center"/>
    </xf>
    <xf numFmtId="49" fontId="56" fillId="0" borderId="0" xfId="0" applyNumberFormat="1" applyFont="1" applyAlignment="1" applyProtection="1">
      <alignment horizontal="center" vertical="center" wrapText="1"/>
      <protection locked="0"/>
    </xf>
    <xf numFmtId="49" fontId="54" fillId="0" borderId="0" xfId="0" applyNumberFormat="1" applyFont="1" applyAlignment="1" applyProtection="1">
      <alignment horizontal="center" vertical="center" wrapText="1"/>
      <protection locked="0"/>
    </xf>
    <xf numFmtId="49" fontId="96" fillId="0" borderId="0" xfId="0" applyNumberFormat="1" applyFont="1" applyAlignment="1">
      <alignment horizontal="center" vertical="center" wrapText="1"/>
    </xf>
    <xf numFmtId="49" fontId="57" fillId="12" borderId="0" xfId="0" applyNumberFormat="1" applyFont="1" applyFill="1" applyAlignment="1">
      <alignment horizontal="center" vertical="center" wrapText="1"/>
    </xf>
    <xf numFmtId="49" fontId="57" fillId="37" borderId="0" xfId="0" applyNumberFormat="1" applyFont="1" applyFill="1" applyAlignment="1">
      <alignment horizontal="center" vertical="center" wrapText="1"/>
    </xf>
    <xf numFmtId="49" fontId="69" fillId="15" borderId="0" xfId="0" applyNumberFormat="1" applyFont="1" applyFill="1" applyAlignment="1" applyProtection="1">
      <alignment horizontal="center" vertical="center" wrapText="1"/>
      <protection locked="0"/>
    </xf>
    <xf numFmtId="49" fontId="71" fillId="16" borderId="0" xfId="0" applyNumberFormat="1" applyFont="1" applyFill="1" applyAlignment="1" applyProtection="1">
      <alignment horizontal="center" vertical="center" wrapText="1"/>
      <protection locked="0"/>
    </xf>
    <xf numFmtId="49" fontId="53" fillId="9" borderId="0" xfId="0" applyNumberFormat="1" applyFont="1" applyFill="1" applyAlignment="1">
      <alignment horizontal="center" vertical="center" wrapText="1"/>
    </xf>
    <xf numFmtId="49" fontId="53" fillId="0" borderId="0" xfId="0" applyNumberFormat="1" applyFont="1" applyAlignment="1" applyProtection="1">
      <alignment horizontal="center" vertical="center" wrapText="1"/>
      <protection locked="0"/>
    </xf>
    <xf numFmtId="49" fontId="54" fillId="0" borderId="0" xfId="0" applyNumberFormat="1" applyFont="1" applyAlignment="1" applyProtection="1">
      <alignment horizontal="left" vertical="center" wrapText="1"/>
      <protection locked="0"/>
    </xf>
    <xf numFmtId="49" fontId="73" fillId="20" borderId="0" xfId="0" applyNumberFormat="1" applyFont="1" applyFill="1" applyAlignment="1" applyProtection="1">
      <alignment horizontal="center" vertical="center" wrapText="1"/>
      <protection locked="0"/>
    </xf>
    <xf numFmtId="0" fontId="89" fillId="0" borderId="0" xfId="0" applyFont="1" applyAlignment="1">
      <alignment horizontal="center" vertical="center" wrapText="1"/>
    </xf>
    <xf numFmtId="49" fontId="53" fillId="3" borderId="0" xfId="0" applyNumberFormat="1" applyFont="1" applyFill="1" applyAlignment="1">
      <alignment horizontal="center" vertical="center" wrapText="1"/>
    </xf>
    <xf numFmtId="49" fontId="53" fillId="21" borderId="0" xfId="0" applyNumberFormat="1" applyFont="1" applyFill="1" applyAlignment="1">
      <alignment horizontal="center" vertical="center" wrapText="1"/>
    </xf>
    <xf numFmtId="49" fontId="77" fillId="21" borderId="0" xfId="0" applyNumberFormat="1" applyFont="1" applyFill="1" applyAlignment="1">
      <alignment horizontal="center" vertical="center" wrapText="1"/>
    </xf>
    <xf numFmtId="49" fontId="57" fillId="24" borderId="0" xfId="1" applyNumberFormat="1" applyFont="1" applyFill="1" applyBorder="1" applyAlignment="1" applyProtection="1">
      <alignment horizontal="center" vertical="center"/>
    </xf>
    <xf numFmtId="49" fontId="69" fillId="0" borderId="0" xfId="0" applyNumberFormat="1" applyFont="1" applyAlignment="1" applyProtection="1">
      <alignment horizontal="center" vertical="center" wrapText="1"/>
      <protection locked="0"/>
    </xf>
    <xf numFmtId="49" fontId="80" fillId="22" borderId="0" xfId="0" applyNumberFormat="1" applyFont="1" applyFill="1" applyAlignment="1" applyProtection="1">
      <alignment horizontal="center" vertical="center" wrapText="1"/>
      <protection locked="0"/>
    </xf>
    <xf numFmtId="49" fontId="81" fillId="0" borderId="0" xfId="0" applyNumberFormat="1" applyFont="1" applyAlignment="1" applyProtection="1">
      <alignment horizontal="center" vertical="center" wrapText="1"/>
      <protection locked="0"/>
    </xf>
    <xf numFmtId="0" fontId="15" fillId="0" borderId="0" xfId="0" applyFont="1" applyAlignment="1">
      <alignment horizontal="center" vertical="top" wrapText="1"/>
    </xf>
    <xf numFmtId="0" fontId="30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/>
    </xf>
    <xf numFmtId="14" fontId="0" fillId="0" borderId="0" xfId="0" applyNumberFormat="1"/>
    <xf numFmtId="0" fontId="17" fillId="0" borderId="42" xfId="0" applyFont="1" applyBorder="1" applyAlignment="1">
      <alignment horizontal="center"/>
    </xf>
    <xf numFmtId="0" fontId="100" fillId="25" borderId="0" xfId="0" applyFont="1" applyFill="1" applyAlignment="1">
      <alignment horizontal="center" wrapText="1"/>
    </xf>
    <xf numFmtId="0" fontId="100" fillId="0" borderId="0" xfId="0" applyFont="1"/>
    <xf numFmtId="0" fontId="101" fillId="17" borderId="0" xfId="2" applyFont="1" applyFill="1"/>
    <xf numFmtId="0" fontId="100" fillId="0" borderId="0" xfId="0" applyFont="1" applyAlignment="1">
      <alignment horizontal="center" vertical="center" wrapText="1"/>
    </xf>
    <xf numFmtId="0" fontId="100" fillId="0" borderId="0" xfId="0" applyFont="1" applyAlignment="1">
      <alignment horizontal="left" vertical="top" wrapText="1"/>
    </xf>
    <xf numFmtId="166" fontId="100" fillId="0" borderId="0" xfId="0" applyNumberFormat="1" applyFont="1" applyAlignment="1">
      <alignment horizontal="center" vertical="center" wrapText="1"/>
    </xf>
    <xf numFmtId="0" fontId="100" fillId="0" borderId="0" xfId="0" applyFont="1" applyAlignment="1">
      <alignment wrapText="1"/>
    </xf>
    <xf numFmtId="166" fontId="100" fillId="0" borderId="0" xfId="0" applyNumberFormat="1" applyFont="1" applyAlignment="1">
      <alignment horizontal="center" vertical="center"/>
    </xf>
    <xf numFmtId="1" fontId="100" fillId="0" borderId="0" xfId="0" applyNumberFormat="1" applyFont="1" applyAlignment="1">
      <alignment horizontal="left" vertical="top" wrapText="1"/>
    </xf>
    <xf numFmtId="0" fontId="102" fillId="0" borderId="0" xfId="0" applyFont="1" applyAlignment="1">
      <alignment horizontal="center" vertical="center" wrapText="1"/>
    </xf>
    <xf numFmtId="166" fontId="35" fillId="0" borderId="0" xfId="0" applyNumberFormat="1" applyFont="1" applyAlignment="1">
      <alignment horizontal="center" vertical="center" wrapText="1"/>
    </xf>
    <xf numFmtId="0" fontId="35" fillId="0" borderId="0" xfId="0" applyFont="1" applyAlignment="1">
      <alignment horizontal="center" vertical="center"/>
    </xf>
    <xf numFmtId="166" fontId="18" fillId="0" borderId="0" xfId="0" applyNumberFormat="1" applyFont="1" applyAlignment="1">
      <alignment horizontal="left" vertical="top" wrapText="1"/>
    </xf>
    <xf numFmtId="0" fontId="107" fillId="0" borderId="20" xfId="0" applyFont="1" applyBorder="1" applyAlignment="1">
      <alignment horizontal="center" vertical="center" textRotation="90" wrapText="1"/>
    </xf>
    <xf numFmtId="0" fontId="108" fillId="15" borderId="20" xfId="0" applyFont="1" applyFill="1" applyBorder="1" applyAlignment="1">
      <alignment horizontal="center" vertical="center" textRotation="90" wrapText="1"/>
    </xf>
    <xf numFmtId="0" fontId="107" fillId="0" borderId="20" xfId="0" applyFont="1" applyBorder="1" applyAlignment="1">
      <alignment horizontal="center" vertical="center" wrapText="1"/>
    </xf>
    <xf numFmtId="0" fontId="107" fillId="0" borderId="20" xfId="0" applyFont="1" applyBorder="1" applyAlignment="1">
      <alignment horizontal="center" vertical="center"/>
    </xf>
    <xf numFmtId="0" fontId="108" fillId="38" borderId="20" xfId="0" applyFont="1" applyFill="1" applyBorder="1" applyAlignment="1">
      <alignment horizontal="center" wrapText="1"/>
    </xf>
    <xf numFmtId="0" fontId="109" fillId="0" borderId="20" xfId="0" applyFont="1" applyBorder="1" applyAlignment="1">
      <alignment horizontal="center"/>
    </xf>
    <xf numFmtId="14" fontId="110" fillId="0" borderId="20" xfId="0" applyNumberFormat="1" applyFont="1" applyBorder="1" applyAlignment="1">
      <alignment horizontal="center"/>
    </xf>
    <xf numFmtId="0" fontId="111" fillId="0" borderId="20" xfId="0" applyFont="1" applyBorder="1" applyAlignment="1">
      <alignment vertical="center"/>
    </xf>
    <xf numFmtId="0" fontId="25" fillId="0" borderId="20" xfId="0" applyFont="1" applyBorder="1" applyAlignment="1">
      <alignment horizontal="left" vertical="top" wrapText="1"/>
    </xf>
    <xf numFmtId="49" fontId="0" fillId="0" borderId="0" xfId="0" applyNumberFormat="1" applyAlignment="1">
      <alignment wrapText="1"/>
    </xf>
    <xf numFmtId="0" fontId="2" fillId="0" borderId="0" xfId="16"/>
    <xf numFmtId="0" fontId="88" fillId="0" borderId="0" xfId="16" applyFont="1" applyAlignment="1">
      <alignment horizontal="center"/>
    </xf>
    <xf numFmtId="0" fontId="2" fillId="17" borderId="11" xfId="16" applyFill="1" applyBorder="1"/>
    <xf numFmtId="0" fontId="2" fillId="31" borderId="11" xfId="16" applyFill="1" applyBorder="1"/>
    <xf numFmtId="0" fontId="2" fillId="15" borderId="0" xfId="16" applyFill="1"/>
    <xf numFmtId="0" fontId="2" fillId="17" borderId="38" xfId="16" applyFill="1" applyBorder="1"/>
    <xf numFmtId="0" fontId="2" fillId="31" borderId="38" xfId="16" applyFill="1" applyBorder="1"/>
    <xf numFmtId="0" fontId="2" fillId="31" borderId="24" xfId="16" applyFill="1" applyBorder="1"/>
    <xf numFmtId="0" fontId="2" fillId="0" borderId="2" xfId="16" applyBorder="1" applyAlignment="1">
      <alignment horizontal="center"/>
    </xf>
    <xf numFmtId="0" fontId="2" fillId="0" borderId="36" xfId="16" applyBorder="1" applyAlignment="1">
      <alignment horizontal="center"/>
    </xf>
    <xf numFmtId="0" fontId="2" fillId="17" borderId="17" xfId="16" applyFill="1" applyBorder="1"/>
    <xf numFmtId="0" fontId="24" fillId="19" borderId="15" xfId="16" applyFont="1" applyFill="1" applyBorder="1" applyAlignment="1">
      <alignment horizontal="center"/>
    </xf>
    <xf numFmtId="0" fontId="21" fillId="15" borderId="0" xfId="2" applyFill="1"/>
    <xf numFmtId="0" fontId="24" fillId="40" borderId="35" xfId="16" applyFont="1" applyFill="1" applyBorder="1" applyAlignment="1">
      <alignment horizontal="center"/>
    </xf>
    <xf numFmtId="0" fontId="24" fillId="40" borderId="1" xfId="16" applyFont="1" applyFill="1" applyBorder="1" applyAlignment="1">
      <alignment horizontal="center"/>
    </xf>
    <xf numFmtId="0" fontId="24" fillId="40" borderId="25" xfId="16" applyFont="1" applyFill="1" applyBorder="1" applyAlignment="1">
      <alignment horizontal="center"/>
    </xf>
    <xf numFmtId="0" fontId="24" fillId="0" borderId="13" xfId="16" applyFont="1" applyBorder="1" applyAlignment="1">
      <alignment horizontal="center"/>
    </xf>
    <xf numFmtId="0" fontId="113" fillId="0" borderId="0" xfId="16" applyFont="1" applyAlignment="1">
      <alignment horizontal="center" vertical="center"/>
    </xf>
    <xf numFmtId="0" fontId="25" fillId="0" borderId="20" xfId="0" applyFont="1" applyBorder="1" applyAlignment="1">
      <alignment horizontal="left" vertical="center"/>
    </xf>
    <xf numFmtId="0" fontId="0" fillId="44" borderId="0" xfId="0" applyFill="1" applyAlignment="1">
      <alignment vertical="center"/>
    </xf>
    <xf numFmtId="0" fontId="115" fillId="0" borderId="0" xfId="0" applyFont="1"/>
    <xf numFmtId="0" fontId="113" fillId="0" borderId="20" xfId="0" applyFont="1" applyBorder="1" applyAlignment="1">
      <alignment horizontal="center" vertical="center" wrapText="1"/>
    </xf>
    <xf numFmtId="0" fontId="113" fillId="0" borderId="20" xfId="2" applyFont="1" applyBorder="1" applyAlignment="1">
      <alignment horizontal="center" vertical="center"/>
    </xf>
    <xf numFmtId="49" fontId="113" fillId="0" borderId="20" xfId="2" applyNumberFormat="1" applyFont="1" applyBorder="1" applyAlignment="1">
      <alignment horizontal="center" vertical="center" wrapText="1"/>
    </xf>
    <xf numFmtId="0" fontId="113" fillId="0" borderId="20" xfId="2" applyFont="1" applyBorder="1" applyAlignment="1">
      <alignment horizontal="center" vertical="center" wrapText="1"/>
    </xf>
    <xf numFmtId="0" fontId="114" fillId="0" borderId="20" xfId="2" applyFont="1" applyBorder="1" applyAlignment="1">
      <alignment horizontal="center" vertical="center"/>
    </xf>
    <xf numFmtId="0" fontId="2" fillId="0" borderId="22" xfId="16" applyBorder="1" applyAlignment="1" applyProtection="1">
      <alignment horizontal="left"/>
      <protection locked="0"/>
    </xf>
    <xf numFmtId="0" fontId="2" fillId="0" borderId="5" xfId="16" applyBorder="1" applyProtection="1">
      <protection locked="0"/>
    </xf>
    <xf numFmtId="0" fontId="2" fillId="0" borderId="36" xfId="16" applyBorder="1" applyProtection="1">
      <protection locked="0"/>
    </xf>
    <xf numFmtId="0" fontId="2" fillId="0" borderId="9" xfId="16" applyBorder="1" applyAlignment="1" applyProtection="1">
      <alignment horizontal="left"/>
      <protection locked="0"/>
    </xf>
    <xf numFmtId="0" fontId="2" fillId="0" borderId="20" xfId="16" applyBorder="1" applyAlignment="1" applyProtection="1">
      <alignment horizontal="center"/>
      <protection locked="0"/>
    </xf>
    <xf numFmtId="0" fontId="2" fillId="0" borderId="6" xfId="16" applyBorder="1" applyProtection="1">
      <protection locked="0"/>
    </xf>
    <xf numFmtId="0" fontId="27" fillId="0" borderId="18" xfId="16" applyFont="1" applyBorder="1" applyAlignment="1" applyProtection="1">
      <alignment horizontal="left" vertical="center" wrapText="1"/>
      <protection locked="0"/>
    </xf>
    <xf numFmtId="0" fontId="27" fillId="0" borderId="5" xfId="16" applyFont="1" applyBorder="1" applyAlignment="1" applyProtection="1">
      <alignment horizontal="left" vertical="center" wrapText="1"/>
      <protection locked="0"/>
    </xf>
    <xf numFmtId="0" fontId="27" fillId="0" borderId="20" xfId="16" applyFont="1" applyBorder="1" applyAlignment="1" applyProtection="1">
      <alignment horizontal="left" vertical="center" wrapText="1"/>
      <protection locked="0"/>
    </xf>
    <xf numFmtId="0" fontId="27" fillId="0" borderId="6" xfId="16" applyFont="1" applyBorder="1" applyAlignment="1" applyProtection="1">
      <alignment horizontal="left" vertical="center" wrapText="1"/>
      <protection locked="0"/>
    </xf>
    <xf numFmtId="0" fontId="27" fillId="0" borderId="36" xfId="16" applyFont="1" applyBorder="1" applyAlignment="1" applyProtection="1">
      <alignment horizontal="left" vertical="center" wrapText="1"/>
      <protection locked="0"/>
    </xf>
    <xf numFmtId="0" fontId="27" fillId="0" borderId="19" xfId="16" applyFont="1" applyBorder="1" applyAlignment="1" applyProtection="1">
      <alignment horizontal="left" vertical="center" wrapText="1"/>
      <protection locked="0"/>
    </xf>
    <xf numFmtId="0" fontId="27" fillId="0" borderId="9" xfId="16" applyFont="1" applyBorder="1" applyAlignment="1" applyProtection="1">
      <alignment horizontal="left" vertical="center" wrapText="1"/>
      <protection locked="0"/>
    </xf>
    <xf numFmtId="0" fontId="24" fillId="0" borderId="0" xfId="0" applyFont="1"/>
    <xf numFmtId="0" fontId="24" fillId="0" borderId="20" xfId="0" applyFont="1" applyBorder="1"/>
    <xf numFmtId="0" fontId="24" fillId="0" borderId="20" xfId="0" applyFont="1" applyBorder="1" applyAlignment="1">
      <alignment horizontal="right"/>
    </xf>
    <xf numFmtId="0" fontId="24" fillId="0" borderId="20" xfId="0" applyFont="1" applyBorder="1" applyAlignment="1">
      <alignment horizontal="right" textRotation="90" wrapText="1"/>
    </xf>
    <xf numFmtId="0" fontId="26" fillId="4" borderId="20" xfId="0" applyFont="1" applyFill="1" applyBorder="1" applyAlignment="1">
      <alignment horizontal="center" vertical="center" textRotation="90" wrapText="1"/>
    </xf>
    <xf numFmtId="0" fontId="26" fillId="0" borderId="20" xfId="0" applyFont="1" applyBorder="1" applyAlignment="1">
      <alignment horizontal="center" vertical="center" textRotation="90" wrapText="1"/>
    </xf>
    <xf numFmtId="0" fontId="26" fillId="14" borderId="20" xfId="0" applyFont="1" applyFill="1" applyBorder="1" applyAlignment="1">
      <alignment horizontal="center" vertical="center" textRotation="90" wrapText="1"/>
    </xf>
    <xf numFmtId="14" fontId="24" fillId="0" borderId="20" xfId="0" applyNumberFormat="1" applyFont="1" applyBorder="1" applyAlignment="1">
      <alignment horizontal="center" vertical="center" textRotation="90" wrapText="1"/>
    </xf>
    <xf numFmtId="0" fontId="24" fillId="0" borderId="30" xfId="0" applyFont="1" applyBorder="1" applyAlignment="1">
      <alignment horizontal="center" vertical="center" textRotation="90" wrapText="1"/>
    </xf>
    <xf numFmtId="0" fontId="24" fillId="0" borderId="20" xfId="0" applyFont="1" applyBorder="1" applyAlignment="1">
      <alignment horizontal="center"/>
    </xf>
    <xf numFmtId="0" fontId="26" fillId="4" borderId="20" xfId="0" applyFont="1" applyFill="1" applyBorder="1" applyAlignment="1">
      <alignment horizontal="center" vertical="center"/>
    </xf>
    <xf numFmtId="0" fontId="26" fillId="4" borderId="20" xfId="0" applyFont="1" applyFill="1" applyBorder="1" applyAlignment="1">
      <alignment horizontal="center"/>
    </xf>
    <xf numFmtId="0" fontId="26" fillId="14" borderId="20" xfId="0" applyFont="1" applyFill="1" applyBorder="1" applyAlignment="1">
      <alignment horizontal="center"/>
    </xf>
    <xf numFmtId="0" fontId="26" fillId="0" borderId="20" xfId="0" applyFont="1" applyBorder="1" applyAlignment="1">
      <alignment horizontal="center"/>
    </xf>
    <xf numFmtId="0" fontId="27" fillId="0" borderId="20" xfId="0" applyFont="1" applyBorder="1" applyAlignment="1">
      <alignment horizontal="center" vertical="center"/>
    </xf>
    <xf numFmtId="0" fontId="24" fillId="43" borderId="11" xfId="16" applyFont="1" applyFill="1" applyBorder="1" applyAlignment="1">
      <alignment horizontal="center"/>
    </xf>
    <xf numFmtId="0" fontId="27" fillId="0" borderId="43" xfId="16" applyFont="1" applyBorder="1" applyAlignment="1" applyProtection="1">
      <alignment horizontal="left" vertical="center" wrapText="1"/>
      <protection locked="0"/>
    </xf>
    <xf numFmtId="0" fontId="116" fillId="0" borderId="13" xfId="16" applyFont="1" applyBorder="1" applyAlignment="1">
      <alignment horizontal="center" vertical="center" wrapText="1"/>
    </xf>
    <xf numFmtId="14" fontId="27" fillId="0" borderId="1" xfId="16" applyNumberFormat="1" applyFont="1" applyBorder="1" applyAlignment="1">
      <alignment horizontal="center" vertical="center"/>
    </xf>
    <xf numFmtId="0" fontId="112" fillId="0" borderId="33" xfId="16" applyFont="1" applyBorder="1" applyAlignment="1" applyProtection="1">
      <alignment horizontal="center" vertical="center"/>
      <protection locked="0"/>
    </xf>
    <xf numFmtId="0" fontId="27" fillId="0" borderId="15" xfId="16" applyFont="1" applyBorder="1" applyAlignment="1" applyProtection="1">
      <alignment horizontal="center" vertical="center"/>
      <protection locked="0"/>
    </xf>
    <xf numFmtId="0" fontId="27" fillId="0" borderId="12" xfId="16" applyFont="1" applyBorder="1" applyAlignment="1" applyProtection="1">
      <alignment horizontal="center" vertical="center"/>
      <protection locked="0"/>
    </xf>
    <xf numFmtId="14" fontId="27" fillId="0" borderId="25" xfId="16" applyNumberFormat="1" applyFont="1" applyBorder="1" applyAlignment="1" applyProtection="1">
      <alignment horizontal="center" vertical="center"/>
      <protection locked="0"/>
    </xf>
    <xf numFmtId="0" fontId="27" fillId="0" borderId="16" xfId="16" applyFont="1" applyBorder="1" applyAlignment="1" applyProtection="1">
      <alignment horizontal="center" vertical="center"/>
      <protection locked="0"/>
    </xf>
    <xf numFmtId="49" fontId="27" fillId="0" borderId="23" xfId="16" applyNumberFormat="1" applyFont="1" applyBorder="1" applyAlignment="1" applyProtection="1">
      <alignment horizontal="center" vertical="center"/>
      <protection locked="0"/>
    </xf>
    <xf numFmtId="49" fontId="27" fillId="0" borderId="15" xfId="16" applyNumberFormat="1" applyFont="1" applyBorder="1" applyAlignment="1" applyProtection="1">
      <alignment horizontal="center" vertical="center"/>
      <protection locked="0"/>
    </xf>
    <xf numFmtId="0" fontId="2" fillId="0" borderId="18" xfId="16" applyBorder="1" applyAlignment="1" applyProtection="1">
      <alignment horizontal="center" vertical="center"/>
      <protection locked="0"/>
    </xf>
    <xf numFmtId="0" fontId="2" fillId="0" borderId="3" xfId="16" applyBorder="1" applyAlignment="1" applyProtection="1">
      <alignment horizontal="center" vertical="center"/>
      <protection locked="0"/>
    </xf>
    <xf numFmtId="0" fontId="2" fillId="0" borderId="19" xfId="16" applyBorder="1" applyAlignment="1" applyProtection="1">
      <alignment horizontal="center" vertical="center"/>
      <protection locked="0"/>
    </xf>
    <xf numFmtId="14" fontId="117" fillId="0" borderId="20" xfId="0" applyNumberFormat="1" applyFont="1" applyBorder="1" applyAlignment="1">
      <alignment horizontal="center"/>
    </xf>
    <xf numFmtId="0" fontId="2" fillId="0" borderId="0" xfId="16" applyProtection="1">
      <protection locked="0"/>
    </xf>
    <xf numFmtId="14" fontId="108" fillId="38" borderId="20" xfId="0" applyNumberFormat="1" applyFont="1" applyFill="1" applyBorder="1" applyAlignment="1">
      <alignment horizontal="center" wrapText="1"/>
    </xf>
    <xf numFmtId="0" fontId="26" fillId="0" borderId="20" xfId="0" applyFont="1" applyBorder="1" applyAlignment="1">
      <alignment horizontal="center" vertical="center"/>
    </xf>
    <xf numFmtId="0" fontId="104" fillId="0" borderId="20" xfId="0" applyFont="1" applyBorder="1" applyAlignment="1">
      <alignment horizontal="left" vertical="top" wrapText="1"/>
    </xf>
    <xf numFmtId="0" fontId="2" fillId="0" borderId="5" xfId="16" applyBorder="1" applyAlignment="1" applyProtection="1">
      <alignment horizontal="right"/>
      <protection locked="0"/>
    </xf>
    <xf numFmtId="0" fontId="113" fillId="0" borderId="20" xfId="16" applyFont="1" applyBorder="1" applyAlignment="1">
      <alignment horizontal="center" vertical="center"/>
    </xf>
    <xf numFmtId="0" fontId="27" fillId="0" borderId="12" xfId="16" applyFont="1" applyBorder="1" applyAlignment="1" applyProtection="1">
      <alignment horizontal="center" vertical="center" wrapText="1"/>
      <protection locked="0"/>
    </xf>
    <xf numFmtId="0" fontId="1" fillId="0" borderId="20" xfId="16" applyFont="1" applyBorder="1" applyProtection="1">
      <protection locked="0"/>
    </xf>
    <xf numFmtId="0" fontId="1" fillId="0" borderId="0" xfId="16" applyFont="1"/>
    <xf numFmtId="0" fontId="1" fillId="17" borderId="38" xfId="16" applyFont="1" applyFill="1" applyBorder="1"/>
    <xf numFmtId="0" fontId="1" fillId="31" borderId="38" xfId="16" applyFont="1" applyFill="1" applyBorder="1"/>
    <xf numFmtId="0" fontId="1" fillId="15" borderId="0" xfId="16" applyFont="1" applyFill="1"/>
    <xf numFmtId="0" fontId="1" fillId="31" borderId="24" xfId="16" applyFont="1" applyFill="1" applyBorder="1"/>
    <xf numFmtId="0" fontId="1" fillId="17" borderId="12" xfId="16" applyFont="1" applyFill="1" applyBorder="1"/>
    <xf numFmtId="0" fontId="1" fillId="0" borderId="15" xfId="16" applyFont="1" applyBorder="1" applyAlignment="1" applyProtection="1">
      <alignment horizontal="center" vertical="center"/>
      <protection locked="0"/>
    </xf>
    <xf numFmtId="0" fontId="1" fillId="0" borderId="43" xfId="16" applyFont="1" applyBorder="1" applyProtection="1">
      <protection locked="0"/>
    </xf>
    <xf numFmtId="0" fontId="1" fillId="0" borderId="6" xfId="16" applyFont="1" applyBorder="1" applyAlignment="1" applyProtection="1">
      <alignment horizontal="left"/>
      <protection locked="0"/>
    </xf>
    <xf numFmtId="49" fontId="1" fillId="0" borderId="14" xfId="16" applyNumberFormat="1" applyFont="1" applyBorder="1" applyAlignment="1" applyProtection="1">
      <alignment horizontal="center"/>
      <protection locked="0"/>
    </xf>
    <xf numFmtId="0" fontId="1" fillId="0" borderId="14" xfId="16" applyFont="1" applyBorder="1" applyAlignment="1" applyProtection="1">
      <alignment horizontal="center"/>
      <protection locked="0"/>
    </xf>
    <xf numFmtId="0" fontId="1" fillId="0" borderId="18" xfId="16" applyFont="1" applyBorder="1" applyAlignment="1" applyProtection="1">
      <alignment horizontal="center" vertical="center"/>
      <protection locked="0"/>
    </xf>
    <xf numFmtId="0" fontId="1" fillId="0" borderId="9" xfId="16" applyFont="1" applyBorder="1" applyAlignment="1" applyProtection="1">
      <alignment horizontal="center" vertical="center"/>
      <protection locked="0"/>
    </xf>
    <xf numFmtId="0" fontId="1" fillId="0" borderId="21" xfId="16" applyFont="1" applyBorder="1" applyProtection="1">
      <protection locked="0"/>
    </xf>
    <xf numFmtId="0" fontId="1" fillId="0" borderId="22" xfId="16" applyFont="1" applyBorder="1" applyProtection="1">
      <protection locked="0"/>
    </xf>
    <xf numFmtId="0" fontId="1" fillId="0" borderId="0" xfId="16" applyFont="1" applyProtection="1">
      <protection locked="0"/>
    </xf>
    <xf numFmtId="0" fontId="1" fillId="0" borderId="6" xfId="16" applyFont="1" applyBorder="1" applyProtection="1">
      <protection locked="0"/>
    </xf>
    <xf numFmtId="0" fontId="1" fillId="0" borderId="2" xfId="16" applyFont="1" applyBorder="1" applyAlignment="1" applyProtection="1">
      <alignment vertical="center" wrapText="1"/>
      <protection locked="0"/>
    </xf>
    <xf numFmtId="0" fontId="1" fillId="0" borderId="0" xfId="16" applyFont="1" applyAlignment="1" applyProtection="1">
      <alignment vertical="center"/>
      <protection locked="0"/>
    </xf>
    <xf numFmtId="0" fontId="1" fillId="0" borderId="20" xfId="0" applyFont="1" applyBorder="1" applyAlignment="1">
      <alignment horizontal="center" vertical="center" textRotation="90"/>
    </xf>
    <xf numFmtId="0" fontId="1" fillId="0" borderId="20" xfId="0" applyFont="1" applyBorder="1" applyAlignment="1">
      <alignment horizontal="center" vertical="center"/>
    </xf>
    <xf numFmtId="0" fontId="1" fillId="0" borderId="20" xfId="0" applyFont="1" applyBorder="1" applyAlignment="1">
      <alignment vertical="center"/>
    </xf>
    <xf numFmtId="0" fontId="1" fillId="0" borderId="20" xfId="0" applyFont="1" applyBorder="1"/>
    <xf numFmtId="14" fontId="1" fillId="0" borderId="20" xfId="0" applyNumberFormat="1" applyFont="1" applyBorder="1"/>
    <xf numFmtId="0" fontId="1" fillId="0" borderId="20" xfId="0" applyFont="1" applyBorder="1" applyAlignment="1">
      <alignment horizontal="center"/>
    </xf>
    <xf numFmtId="14" fontId="1" fillId="0" borderId="20" xfId="0" applyNumberFormat="1" applyFont="1" applyBorder="1" applyAlignment="1">
      <alignment horizontal="center"/>
    </xf>
    <xf numFmtId="16" fontId="1" fillId="0" borderId="20" xfId="16" applyNumberFormat="1" applyFont="1" applyBorder="1" applyProtection="1">
      <protection locked="0"/>
    </xf>
    <xf numFmtId="0" fontId="27" fillId="0" borderId="3" xfId="16" applyFont="1" applyBorder="1" applyAlignment="1" applyProtection="1">
      <alignment horizontal="left" vertical="center" wrapText="1"/>
      <protection locked="0"/>
    </xf>
    <xf numFmtId="0" fontId="120" fillId="0" borderId="20" xfId="0" applyFont="1" applyBorder="1" applyAlignment="1">
      <alignment vertical="center"/>
    </xf>
    <xf numFmtId="0" fontId="121" fillId="0" borderId="20" xfId="0" applyFont="1" applyBorder="1" applyAlignment="1">
      <alignment horizontal="center"/>
    </xf>
    <xf numFmtId="0" fontId="120" fillId="0" borderId="20" xfId="0" applyFont="1" applyBorder="1" applyAlignment="1">
      <alignment horizontal="center" vertical="center"/>
    </xf>
    <xf numFmtId="0" fontId="122" fillId="0" borderId="20" xfId="0" applyFont="1" applyBorder="1" applyAlignment="1">
      <alignment horizontal="center" vertical="center" wrapText="1"/>
    </xf>
    <xf numFmtId="0" fontId="122" fillId="0" borderId="20" xfId="0" applyFont="1" applyBorder="1" applyAlignment="1">
      <alignment horizontal="center" vertical="center"/>
    </xf>
    <xf numFmtId="0" fontId="123" fillId="0" borderId="20" xfId="0" applyFont="1" applyBorder="1" applyAlignment="1">
      <alignment horizontal="left" vertical="top" wrapText="1"/>
    </xf>
    <xf numFmtId="0" fontId="124" fillId="4" borderId="20" xfId="0" applyFont="1" applyFill="1" applyBorder="1" applyAlignment="1">
      <alignment horizontal="center" vertical="center"/>
    </xf>
    <xf numFmtId="0" fontId="124" fillId="4" borderId="20" xfId="0" applyFont="1" applyFill="1" applyBorder="1" applyAlignment="1">
      <alignment horizontal="center"/>
    </xf>
    <xf numFmtId="14" fontId="125" fillId="38" borderId="20" xfId="0" applyNumberFormat="1" applyFont="1" applyFill="1" applyBorder="1" applyAlignment="1">
      <alignment horizontal="center" wrapText="1"/>
    </xf>
    <xf numFmtId="0" fontId="126" fillId="0" borderId="20" xfId="0" applyFont="1" applyBorder="1" applyAlignment="1">
      <alignment horizontal="center"/>
    </xf>
    <xf numFmtId="0" fontId="124" fillId="14" borderId="20" xfId="0" applyFont="1" applyFill="1" applyBorder="1" applyAlignment="1">
      <alignment horizontal="center"/>
    </xf>
    <xf numFmtId="14" fontId="127" fillId="0" borderId="20" xfId="0" applyNumberFormat="1" applyFont="1" applyBorder="1" applyAlignment="1">
      <alignment horizontal="center"/>
    </xf>
    <xf numFmtId="0" fontId="124" fillId="0" borderId="20" xfId="0" applyFont="1" applyBorder="1" applyAlignment="1">
      <alignment horizontal="center" vertical="center"/>
    </xf>
    <xf numFmtId="0" fontId="119" fillId="0" borderId="20" xfId="0" applyFont="1" applyBorder="1" applyAlignment="1">
      <alignment horizontal="left" vertical="top" wrapText="1"/>
    </xf>
    <xf numFmtId="0" fontId="24" fillId="39" borderId="32" xfId="16" applyFont="1" applyFill="1" applyBorder="1" applyAlignment="1">
      <alignment horizontal="center"/>
    </xf>
    <xf numFmtId="0" fontId="24" fillId="39" borderId="33" xfId="16" applyFont="1" applyFill="1" applyBorder="1" applyAlignment="1">
      <alignment horizontal="center"/>
    </xf>
    <xf numFmtId="0" fontId="24" fillId="39" borderId="16" xfId="16" applyFont="1" applyFill="1" applyBorder="1" applyAlignment="1">
      <alignment horizontal="center"/>
    </xf>
    <xf numFmtId="0" fontId="24" fillId="42" borderId="32" xfId="16" applyFont="1" applyFill="1" applyBorder="1" applyAlignment="1">
      <alignment horizontal="center"/>
    </xf>
    <xf numFmtId="0" fontId="24" fillId="42" borderId="33" xfId="16" applyFont="1" applyFill="1" applyBorder="1" applyAlignment="1">
      <alignment horizontal="center"/>
    </xf>
    <xf numFmtId="0" fontId="24" fillId="42" borderId="16" xfId="16" applyFont="1" applyFill="1" applyBorder="1" applyAlignment="1">
      <alignment horizontal="center"/>
    </xf>
    <xf numFmtId="0" fontId="37" fillId="41" borderId="32" xfId="16" applyFont="1" applyFill="1" applyBorder="1" applyAlignment="1">
      <alignment horizontal="center"/>
    </xf>
    <xf numFmtId="0" fontId="24" fillId="41" borderId="10" xfId="16" applyFont="1" applyFill="1" applyBorder="1" applyAlignment="1">
      <alignment horizontal="center"/>
    </xf>
    <xf numFmtId="0" fontId="24" fillId="0" borderId="11" xfId="16" applyFont="1" applyBorder="1" applyAlignment="1" applyProtection="1">
      <alignment horizontal="left" vertical="top" wrapText="1"/>
      <protection locked="0"/>
    </xf>
    <xf numFmtId="0" fontId="2" fillId="0" borderId="38" xfId="16" applyBorder="1" applyAlignment="1" applyProtection="1">
      <alignment horizontal="left" vertical="top"/>
      <protection locked="0"/>
    </xf>
    <xf numFmtId="0" fontId="2" fillId="0" borderId="12" xfId="16" applyBorder="1" applyAlignment="1" applyProtection="1">
      <alignment horizontal="left" vertical="top"/>
      <protection locked="0"/>
    </xf>
    <xf numFmtId="0" fontId="119" fillId="0" borderId="10" xfId="16" applyFont="1" applyBorder="1" applyAlignment="1" applyProtection="1">
      <alignment horizontal="left" vertical="top" wrapText="1"/>
      <protection locked="0"/>
    </xf>
    <xf numFmtId="0" fontId="2" fillId="0" borderId="24" xfId="16" applyBorder="1" applyAlignment="1" applyProtection="1">
      <alignment horizontal="left" vertical="top"/>
      <protection locked="0"/>
    </xf>
    <xf numFmtId="0" fontId="2" fillId="0" borderId="25" xfId="16" applyBorder="1" applyAlignment="1" applyProtection="1">
      <alignment horizontal="left" vertical="top"/>
      <protection locked="0"/>
    </xf>
    <xf numFmtId="0" fontId="24" fillId="24" borderId="35" xfId="16" applyFont="1" applyFill="1" applyBorder="1" applyAlignment="1">
      <alignment horizontal="center"/>
    </xf>
    <xf numFmtId="0" fontId="24" fillId="24" borderId="1" xfId="16" applyFont="1" applyFill="1" applyBorder="1" applyAlignment="1">
      <alignment horizontal="center"/>
    </xf>
    <xf numFmtId="0" fontId="24" fillId="24" borderId="25" xfId="16" applyFont="1" applyFill="1" applyBorder="1" applyAlignment="1">
      <alignment horizontal="center"/>
    </xf>
    <xf numFmtId="0" fontId="24" fillId="34" borderId="34" xfId="16" applyFont="1" applyFill="1" applyBorder="1" applyAlignment="1">
      <alignment horizontal="center"/>
    </xf>
    <xf numFmtId="0" fontId="24" fillId="34" borderId="23" xfId="16" applyFont="1" applyFill="1" applyBorder="1" applyAlignment="1">
      <alignment horizontal="center"/>
    </xf>
    <xf numFmtId="0" fontId="24" fillId="34" borderId="10" xfId="16" applyFont="1" applyFill="1" applyBorder="1" applyAlignment="1">
      <alignment horizontal="center"/>
    </xf>
    <xf numFmtId="0" fontId="49" fillId="0" borderId="20" xfId="2" applyFont="1" applyBorder="1"/>
    <xf numFmtId="0" fontId="49" fillId="15" borderId="30" xfId="2" applyFont="1" applyFill="1" applyBorder="1" applyAlignment="1">
      <alignment horizontal="center"/>
    </xf>
    <xf numFmtId="0" fontId="49" fillId="15" borderId="40" xfId="2" applyFont="1" applyFill="1" applyBorder="1" applyAlignment="1">
      <alignment horizontal="center"/>
    </xf>
    <xf numFmtId="0" fontId="49" fillId="15" borderId="8" xfId="2" applyFont="1" applyFill="1" applyBorder="1" applyAlignment="1">
      <alignment horizontal="center"/>
    </xf>
    <xf numFmtId="0" fontId="50" fillId="29" borderId="30" xfId="2" applyFont="1" applyFill="1" applyBorder="1"/>
    <xf numFmtId="0" fontId="50" fillId="29" borderId="40" xfId="2" applyFont="1" applyFill="1" applyBorder="1"/>
    <xf numFmtId="0" fontId="50" fillId="29" borderId="8" xfId="2" applyFont="1" applyFill="1" applyBorder="1"/>
    <xf numFmtId="0" fontId="60" fillId="0" borderId="0" xfId="2" applyFont="1"/>
    <xf numFmtId="49" fontId="57" fillId="10" borderId="20" xfId="0" applyNumberFormat="1" applyFont="1" applyFill="1" applyBorder="1" applyAlignment="1">
      <alignment horizontal="center" vertical="center"/>
    </xf>
    <xf numFmtId="49" fontId="57" fillId="2" borderId="20" xfId="0" quotePrefix="1" applyNumberFormat="1" applyFont="1" applyFill="1" applyBorder="1" applyAlignment="1">
      <alignment horizontal="center" vertical="center" wrapText="1"/>
    </xf>
    <xf numFmtId="49" fontId="57" fillId="2" borderId="20" xfId="0" applyNumberFormat="1" applyFont="1" applyFill="1" applyBorder="1" applyAlignment="1">
      <alignment horizontal="center" vertical="center" wrapText="1"/>
    </xf>
    <xf numFmtId="49" fontId="54" fillId="0" borderId="20" xfId="0" applyNumberFormat="1" applyFont="1" applyBorder="1" applyAlignment="1">
      <alignment horizontal="center" vertical="center" wrapText="1"/>
    </xf>
    <xf numFmtId="49" fontId="66" fillId="0" borderId="20" xfId="0" applyNumberFormat="1" applyFont="1" applyBorder="1" applyAlignment="1">
      <alignment horizontal="center" vertical="center" wrapText="1"/>
    </xf>
    <xf numFmtId="0" fontId="57" fillId="2" borderId="20" xfId="0" applyFont="1" applyFill="1" applyBorder="1" applyAlignment="1" applyProtection="1">
      <alignment horizontal="center" vertical="center"/>
      <protection locked="0"/>
    </xf>
    <xf numFmtId="49" fontId="65" fillId="23" borderId="20" xfId="0" applyNumberFormat="1" applyFont="1" applyFill="1" applyBorder="1" applyAlignment="1">
      <alignment horizontal="center" vertical="center" wrapText="1"/>
    </xf>
    <xf numFmtId="49" fontId="66" fillId="23" borderId="20" xfId="0" applyNumberFormat="1" applyFont="1" applyFill="1" applyBorder="1" applyAlignment="1">
      <alignment horizontal="center" vertical="center" wrapText="1"/>
    </xf>
    <xf numFmtId="49" fontId="69" fillId="15" borderId="20" xfId="0" applyNumberFormat="1" applyFont="1" applyFill="1" applyBorder="1" applyAlignment="1" applyProtection="1">
      <alignment horizontal="center" vertical="center" wrapText="1"/>
      <protection locked="0"/>
    </xf>
    <xf numFmtId="49" fontId="61" fillId="11" borderId="20" xfId="0" applyNumberFormat="1" applyFont="1" applyFill="1" applyBorder="1" applyAlignment="1">
      <alignment horizontal="center" vertical="center" wrapText="1"/>
    </xf>
    <xf numFmtId="49" fontId="53" fillId="3" borderId="20" xfId="0" applyNumberFormat="1" applyFont="1" applyFill="1" applyBorder="1" applyAlignment="1">
      <alignment horizontal="center" vertical="center" wrapText="1"/>
    </xf>
    <xf numFmtId="49" fontId="62" fillId="9" borderId="20" xfId="0" applyNumberFormat="1" applyFont="1" applyFill="1" applyBorder="1" applyAlignment="1">
      <alignment horizontal="center" vertical="center"/>
    </xf>
    <xf numFmtId="49" fontId="62" fillId="8" borderId="20" xfId="0" applyNumberFormat="1" applyFont="1" applyFill="1" applyBorder="1" applyAlignment="1">
      <alignment horizontal="center" vertical="center" wrapText="1"/>
    </xf>
    <xf numFmtId="49" fontId="54" fillId="0" borderId="20" xfId="0" applyNumberFormat="1" applyFont="1" applyBorder="1" applyAlignment="1">
      <alignment horizontal="center" vertical="center"/>
    </xf>
    <xf numFmtId="0" fontId="94" fillId="0" borderId="21" xfId="2" applyFont="1" applyBorder="1" applyProtection="1">
      <protection locked="0"/>
    </xf>
    <xf numFmtId="49" fontId="62" fillId="0" borderId="21" xfId="0" applyNumberFormat="1" applyFont="1" applyBorder="1" applyAlignment="1" applyProtection="1">
      <alignment horizontal="center" vertical="center" wrapText="1"/>
      <protection locked="0"/>
    </xf>
    <xf numFmtId="49" fontId="53" fillId="8" borderId="20" xfId="0" applyNumberFormat="1" applyFont="1" applyFill="1" applyBorder="1" applyAlignment="1">
      <alignment horizontal="center" vertical="center" wrapText="1"/>
    </xf>
    <xf numFmtId="49" fontId="57" fillId="24" borderId="20" xfId="1" applyNumberFormat="1" applyFont="1" applyFill="1" applyBorder="1" applyAlignment="1" applyProtection="1">
      <alignment horizontal="center" vertical="center"/>
    </xf>
    <xf numFmtId="49" fontId="54" fillId="16" borderId="20" xfId="0" applyNumberFormat="1" applyFont="1" applyFill="1" applyBorder="1" applyAlignment="1" applyProtection="1">
      <alignment horizontal="center" vertical="center" wrapText="1"/>
      <protection locked="0"/>
    </xf>
    <xf numFmtId="49" fontId="57" fillId="24" borderId="20" xfId="1" applyNumberFormat="1" applyFont="1" applyFill="1" applyBorder="1" applyAlignment="1" applyProtection="1">
      <alignment horizontal="center" vertical="center" wrapText="1"/>
    </xf>
    <xf numFmtId="49" fontId="66" fillId="24" borderId="20" xfId="1" applyNumberFormat="1" applyFont="1" applyFill="1" applyBorder="1" applyAlignment="1" applyProtection="1">
      <alignment horizontal="center" vertical="center"/>
    </xf>
    <xf numFmtId="49" fontId="80" fillId="22" borderId="41" xfId="0" applyNumberFormat="1" applyFont="1" applyFill="1" applyBorder="1" applyAlignment="1" applyProtection="1">
      <alignment horizontal="center" vertical="center" wrapText="1"/>
      <protection locked="0"/>
    </xf>
    <xf numFmtId="49" fontId="81" fillId="0" borderId="20" xfId="0" applyNumberFormat="1" applyFont="1" applyBorder="1" applyAlignment="1" applyProtection="1">
      <alignment horizontal="center" vertical="center" wrapText="1"/>
      <protection locked="0"/>
    </xf>
    <xf numFmtId="0" fontId="69" fillId="0" borderId="20" xfId="0" applyFont="1" applyBorder="1" applyAlignment="1">
      <alignment horizontal="center" vertical="center" wrapText="1"/>
    </xf>
    <xf numFmtId="0" fontId="57" fillId="0" borderId="20" xfId="0" applyFont="1" applyBorder="1" applyAlignment="1">
      <alignment horizontal="center" vertical="center" wrapText="1"/>
    </xf>
    <xf numFmtId="0" fontId="80" fillId="0" borderId="20" xfId="0" applyFont="1" applyBorder="1" applyAlignment="1">
      <alignment horizontal="center" vertical="center" wrapText="1"/>
    </xf>
    <xf numFmtId="49" fontId="80" fillId="22" borderId="20" xfId="0" applyNumberFormat="1" applyFont="1" applyFill="1" applyBorder="1" applyAlignment="1" applyProtection="1">
      <alignment horizontal="center" vertical="center" wrapText="1"/>
      <protection locked="0"/>
    </xf>
    <xf numFmtId="49" fontId="57" fillId="0" borderId="21" xfId="0" applyNumberFormat="1" applyFont="1" applyBorder="1" applyAlignment="1" applyProtection="1">
      <alignment horizontal="center" vertical="center" wrapText="1"/>
      <protection locked="0"/>
    </xf>
    <xf numFmtId="49" fontId="54" fillId="0" borderId="20" xfId="0" applyNumberFormat="1" applyFont="1" applyBorder="1" applyAlignment="1" applyProtection="1">
      <alignment horizontal="center" vertical="center" wrapText="1"/>
      <protection locked="0"/>
    </xf>
    <xf numFmtId="49" fontId="69" fillId="0" borderId="20" xfId="0" applyNumberFormat="1" applyFont="1" applyBorder="1" applyAlignment="1" applyProtection="1">
      <alignment horizontal="center" vertical="center" wrapText="1"/>
      <protection locked="0"/>
    </xf>
    <xf numFmtId="49" fontId="57" fillId="22" borderId="20" xfId="1" applyNumberFormat="1" applyFont="1" applyFill="1" applyBorder="1" applyAlignment="1" applyProtection="1">
      <alignment horizontal="center" vertical="center" wrapText="1"/>
    </xf>
    <xf numFmtId="49" fontId="69" fillId="0" borderId="20" xfId="0" applyNumberFormat="1" applyFont="1" applyBorder="1" applyAlignment="1">
      <alignment horizontal="center" wrapText="1"/>
    </xf>
    <xf numFmtId="0" fontId="99" fillId="0" borderId="20" xfId="0" applyFont="1" applyBorder="1" applyAlignment="1">
      <alignment horizontal="center" vertical="center" wrapText="1"/>
    </xf>
    <xf numFmtId="0" fontId="89" fillId="0" borderId="20" xfId="0" applyFont="1" applyBorder="1" applyAlignment="1">
      <alignment horizontal="center" vertical="center" wrapText="1"/>
    </xf>
    <xf numFmtId="49" fontId="57" fillId="23" borderId="20" xfId="0" applyNumberFormat="1" applyFont="1" applyFill="1" applyBorder="1" applyAlignment="1">
      <alignment horizontal="center" vertical="center" wrapText="1"/>
    </xf>
    <xf numFmtId="49" fontId="68" fillId="0" borderId="0" xfId="0" applyNumberFormat="1" applyFont="1" applyAlignment="1">
      <alignment horizontal="center" vertical="center"/>
    </xf>
    <xf numFmtId="0" fontId="60" fillId="0" borderId="0" xfId="2" applyFont="1" applyAlignment="1">
      <alignment vertical="center"/>
    </xf>
    <xf numFmtId="0" fontId="60" fillId="0" borderId="0" xfId="2" applyFont="1" applyAlignment="1">
      <alignment horizontal="center"/>
    </xf>
    <xf numFmtId="49" fontId="53" fillId="0" borderId="20" xfId="0" applyNumberFormat="1" applyFont="1" applyBorder="1" applyAlignment="1" applyProtection="1">
      <alignment horizontal="center" vertical="center" wrapText="1"/>
      <protection locked="0"/>
    </xf>
    <xf numFmtId="49" fontId="57" fillId="12" borderId="20" xfId="0" applyNumberFormat="1" applyFont="1" applyFill="1" applyBorder="1" applyAlignment="1">
      <alignment horizontal="center" vertical="center" wrapText="1"/>
    </xf>
    <xf numFmtId="49" fontId="69" fillId="0" borderId="20" xfId="0" applyNumberFormat="1" applyFont="1" applyBorder="1" applyAlignment="1">
      <alignment wrapText="1"/>
    </xf>
    <xf numFmtId="49" fontId="54" fillId="16" borderId="20" xfId="0" applyNumberFormat="1" applyFont="1" applyFill="1" applyBorder="1" applyAlignment="1" applyProtection="1">
      <alignment horizontal="left" vertical="top" wrapText="1"/>
      <protection locked="0"/>
    </xf>
    <xf numFmtId="49" fontId="56" fillId="0" borderId="20" xfId="0" applyNumberFormat="1" applyFont="1" applyBorder="1" applyAlignment="1" applyProtection="1">
      <alignment horizontal="center" vertical="center" wrapText="1"/>
      <protection locked="0"/>
    </xf>
    <xf numFmtId="49" fontId="53" fillId="26" borderId="28" xfId="0" applyNumberFormat="1" applyFont="1" applyFill="1" applyBorder="1" applyAlignment="1" applyProtection="1">
      <alignment horizontal="left" vertical="center"/>
      <protection locked="0"/>
    </xf>
    <xf numFmtId="49" fontId="54" fillId="16" borderId="30" xfId="0" applyNumberFormat="1" applyFont="1" applyFill="1" applyBorder="1" applyAlignment="1">
      <alignment horizontal="center" vertical="center" wrapText="1"/>
    </xf>
    <xf numFmtId="49" fontId="54" fillId="16" borderId="8" xfId="0" applyNumberFormat="1" applyFont="1" applyFill="1" applyBorder="1" applyAlignment="1">
      <alignment horizontal="center" vertical="center" wrapText="1"/>
    </xf>
    <xf numFmtId="49" fontId="95" fillId="37" borderId="30" xfId="0" applyNumberFormat="1" applyFont="1" applyFill="1" applyBorder="1" applyAlignment="1">
      <alignment horizontal="center" vertical="center" wrapText="1"/>
    </xf>
    <xf numFmtId="49" fontId="57" fillId="37" borderId="8" xfId="0" applyNumberFormat="1" applyFont="1" applyFill="1" applyBorder="1" applyAlignment="1">
      <alignment horizontal="center" vertical="center" wrapText="1"/>
    </xf>
    <xf numFmtId="49" fontId="53" fillId="9" borderId="20" xfId="0" applyNumberFormat="1" applyFont="1" applyFill="1" applyBorder="1" applyAlignment="1">
      <alignment horizontal="center" vertical="center" wrapText="1"/>
    </xf>
    <xf numFmtId="49" fontId="63" fillId="13" borderId="20" xfId="0" applyNumberFormat="1" applyFont="1" applyFill="1" applyBorder="1" applyAlignment="1">
      <alignment horizontal="center" vertical="center"/>
    </xf>
    <xf numFmtId="49" fontId="73" fillId="20" borderId="20" xfId="0" applyNumberFormat="1" applyFont="1" applyFill="1" applyBorder="1" applyAlignment="1" applyProtection="1">
      <alignment horizontal="center" vertical="center" wrapText="1"/>
      <protection locked="0"/>
    </xf>
    <xf numFmtId="49" fontId="71" fillId="16" borderId="20" xfId="0" applyNumberFormat="1" applyFont="1" applyFill="1" applyBorder="1" applyAlignment="1" applyProtection="1">
      <alignment horizontal="center" vertical="center" wrapText="1"/>
      <protection locked="0"/>
    </xf>
    <xf numFmtId="49" fontId="54" fillId="0" borderId="30" xfId="0" applyNumberFormat="1" applyFont="1" applyBorder="1" applyAlignment="1" applyProtection="1">
      <alignment horizontal="center" vertical="center" wrapText="1"/>
      <protection locked="0"/>
    </xf>
    <xf numFmtId="49" fontId="54" fillId="0" borderId="8" xfId="0" applyNumberFormat="1" applyFont="1" applyBorder="1" applyAlignment="1" applyProtection="1">
      <alignment horizontal="center" vertical="center" wrapText="1"/>
      <protection locked="0"/>
    </xf>
    <xf numFmtId="49" fontId="54" fillId="0" borderId="30" xfId="0" applyNumberFormat="1" applyFont="1" applyBorder="1" applyAlignment="1" applyProtection="1">
      <alignment horizontal="left" vertical="center" wrapText="1"/>
      <protection locked="0"/>
    </xf>
    <xf numFmtId="49" fontId="54" fillId="0" borderId="8" xfId="0" applyNumberFormat="1" applyFont="1" applyBorder="1" applyAlignment="1" applyProtection="1">
      <alignment horizontal="left" vertical="center" wrapText="1"/>
      <protection locked="0"/>
    </xf>
    <xf numFmtId="49" fontId="105" fillId="0" borderId="20" xfId="0" applyNumberFormat="1" applyFont="1" applyBorder="1" applyAlignment="1">
      <alignment horizontal="center"/>
    </xf>
    <xf numFmtId="14" fontId="24" fillId="0" borderId="20" xfId="0" applyNumberFormat="1" applyFont="1" applyBorder="1" applyAlignment="1">
      <alignment horizontal="center"/>
    </xf>
    <xf numFmtId="14" fontId="103" fillId="0" borderId="20" xfId="0" applyNumberFormat="1" applyFont="1" applyBorder="1" applyAlignment="1">
      <alignment horizontal="center" vertical="top"/>
    </xf>
    <xf numFmtId="0" fontId="106" fillId="0" borderId="42" xfId="0" applyFont="1" applyBorder="1" applyAlignment="1">
      <alignment horizontal="center"/>
    </xf>
    <xf numFmtId="0" fontId="106" fillId="0" borderId="0" xfId="0" applyFont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0" xfId="0" applyFont="1" applyAlignment="1">
      <alignment horizontal="center"/>
    </xf>
    <xf numFmtId="0" fontId="90" fillId="0" borderId="33" xfId="0" applyFont="1" applyBorder="1" applyAlignment="1">
      <alignment horizontal="center" vertical="top" wrapText="1"/>
    </xf>
    <xf numFmtId="166" fontId="19" fillId="0" borderId="32" xfId="0" applyNumberFormat="1" applyFont="1" applyBorder="1" applyAlignment="1">
      <alignment horizontal="center" vertical="top" wrapText="1"/>
    </xf>
    <xf numFmtId="166" fontId="19" fillId="0" borderId="33" xfId="0" applyNumberFormat="1" applyFont="1" applyBorder="1" applyAlignment="1">
      <alignment horizontal="center" vertical="top" wrapText="1"/>
    </xf>
    <xf numFmtId="14" fontId="15" fillId="0" borderId="33" xfId="0" applyNumberFormat="1" applyFont="1" applyBorder="1" applyAlignment="1">
      <alignment horizontal="center" vertical="top" wrapText="1"/>
    </xf>
    <xf numFmtId="0" fontId="15" fillId="0" borderId="16" xfId="0" applyFont="1" applyBorder="1" applyAlignment="1">
      <alignment horizontal="center" vertical="top" wrapText="1"/>
    </xf>
    <xf numFmtId="0" fontId="100" fillId="25" borderId="0" xfId="0" applyFont="1" applyFill="1" applyAlignment="1">
      <alignment horizontal="center" wrapText="1"/>
    </xf>
    <xf numFmtId="0" fontId="100" fillId="17" borderId="0" xfId="0" applyFont="1" applyFill="1" applyAlignment="1">
      <alignment horizontal="center" vertical="center" wrapText="1"/>
    </xf>
    <xf numFmtId="22" fontId="100" fillId="17" borderId="0" xfId="0" applyNumberFormat="1" applyFont="1" applyFill="1" applyAlignment="1">
      <alignment horizontal="center" wrapText="1"/>
    </xf>
    <xf numFmtId="0" fontId="100" fillId="17" borderId="0" xfId="0" applyFont="1" applyFill="1" applyAlignment="1">
      <alignment horizontal="center" wrapText="1"/>
    </xf>
    <xf numFmtId="0" fontId="101" fillId="17" borderId="0" xfId="2" applyFont="1" applyFill="1"/>
    <xf numFmtId="22" fontId="0" fillId="0" borderId="0" xfId="0" applyNumberFormat="1" applyAlignment="1">
      <alignment wrapText="1"/>
    </xf>
    <xf numFmtId="14" fontId="0" fillId="0" borderId="0" xfId="0" applyNumberFormat="1" applyAlignment="1">
      <alignment wrapText="1"/>
    </xf>
  </cellXfs>
  <cellStyles count="17">
    <cellStyle name="40% - Accent2" xfId="5" builtinId="35"/>
    <cellStyle name="Comma" xfId="1" builtinId="3"/>
    <cellStyle name="Hyperlink" xfId="2" builtinId="8"/>
    <cellStyle name="Normal" xfId="0" builtinId="0"/>
    <cellStyle name="Normal 10" xfId="16" xr:uid="{9B301588-B244-44FF-9EFB-F5A32246D454}"/>
    <cellStyle name="Normal 2" xfId="3" xr:uid="{90C784F2-BBC4-44DC-8390-A07439D5A6A5}"/>
    <cellStyle name="Normal 2 2" xfId="12" xr:uid="{459CB53C-1CAE-E348-A7B4-07EF2D74FEFC}"/>
    <cellStyle name="Normal 3" xfId="4" xr:uid="{5BC00870-1E66-467E-AB3D-C094B470F932}"/>
    <cellStyle name="Normal 4" xfId="6" xr:uid="{7683D995-8A05-4242-8612-26E3348B86BD}"/>
    <cellStyle name="Normal 4 2" xfId="11" xr:uid="{64323D38-C59E-BA47-A813-EA3E4A6346D8}"/>
    <cellStyle name="Normal 5" xfId="7" xr:uid="{3784C8B7-45B2-488C-8764-6095DB051C13}"/>
    <cellStyle name="Normal 5 2 2 2 2 2 2 2 2 2" xfId="14" xr:uid="{7B2B6630-9332-46B2-BBE9-6F58202CBF92}"/>
    <cellStyle name="Normal 6" xfId="8" xr:uid="{2883FEA2-1A19-45A5-A7FF-C122E192614E}"/>
    <cellStyle name="Normal 7" xfId="9" xr:uid="{B058D4AD-B83D-4C2E-9BCD-AED62EBCA719}"/>
    <cellStyle name="Normal 8" xfId="10" xr:uid="{E578C6FD-ABF4-4354-90FE-96DA17C6D35E}"/>
    <cellStyle name="Normal 9" xfId="15" xr:uid="{90CC8DE4-446E-47D5-8618-F4906C7ED52D}"/>
    <cellStyle name="Percent 4" xfId="13" xr:uid="{E46A0EBA-EF5E-4F49-AA6F-1C82063C302C}"/>
  </cellStyles>
  <dxfs count="126"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0" formatCode="General"/>
      <alignment horizontal="general" vertical="bottom" textRotation="0" wrapText="1" indent="0" justifyLastLine="0" shrinkToFit="0" readingOrder="0"/>
    </dxf>
    <dxf>
      <numFmt numFmtId="19" formatCode="m/d/yyyy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numFmt numFmtId="27" formatCode="m/d/yyyy\ h:mm"/>
      <alignment horizontal="general" vertical="bottom" textRotation="0" wrapText="1" indent="0" justifyLastLine="0" shrinkToFit="0" readingOrder="0"/>
    </dxf>
    <dxf>
      <numFmt numFmtId="30" formatCode="@"/>
      <alignment horizontal="general" vertical="bottom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ill>
        <patternFill>
          <bgColor theme="5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numFmt numFmtId="166" formatCode="m/d;@"/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</font>
      <numFmt numFmtId="166" formatCode="m/d;@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none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</font>
      <numFmt numFmtId="1" formatCode="0"/>
      <alignment horizontal="left" vertical="top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sz val="12"/>
        <name val="Aptos Narrow"/>
        <family val="2"/>
      </font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numFmt numFmtId="0" formatCode="General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numFmt numFmtId="0" formatCode="General"/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alignment horizontal="left" vertical="top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numFmt numFmtId="166" formatCode="m/d;@"/>
      <alignment horizontal="left" vertical="top" textRotation="0" wrapText="1" indent="0" justifyLastLine="0" shrinkToFit="0" readingOrder="0"/>
    </dxf>
    <dxf>
      <border diagonalUp="0" diagonalDown="0">
        <left style="medium">
          <color indexed="64"/>
        </left>
        <right style="medium">
          <color indexed="64"/>
        </right>
        <top style="medium">
          <color indexed="64"/>
        </top>
        <bottom style="medium">
          <color indexed="64"/>
        </bottom>
      </border>
    </dxf>
    <dxf>
      <font>
        <strike val="0"/>
        <outline val="0"/>
        <shadow val="0"/>
        <u val="none"/>
        <vertAlign val="baseline"/>
        <sz val="16"/>
        <color theme="1"/>
        <name val="Aptos Narrow"/>
        <family val="2"/>
        <charset val="1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8"/>
        <color theme="1"/>
        <name val="Aptos Narrow"/>
        <family val="2"/>
        <charset val="1"/>
        <scheme val="none"/>
      </font>
      <fill>
        <patternFill patternType="none">
          <fgColor indexed="64"/>
          <bgColor auto="1"/>
        </patternFill>
      </fill>
      <alignment horizontal="left" vertical="top" textRotation="0" wrapText="1" indent="0" justifyLastLine="0" shrinkToFit="0" readingOrder="0"/>
    </dxf>
    <dxf>
      <font>
        <name val="Aptos Narrow"/>
        <scheme val="minor"/>
      </font>
      <alignment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 val="0"/>
        <name val="Aptos Narrow"/>
        <scheme val="minor"/>
      </font>
      <numFmt numFmtId="19" formatCode="m/d/yyyy"/>
      <fill>
        <patternFill patternType="none">
          <fgColor indexed="64"/>
          <bgColor auto="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fill>
        <patternFill patternType="none">
          <fgColor indexed="64"/>
          <bgColor auto="1"/>
        </patternFill>
      </fill>
      <alignment horizontal="center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numFmt numFmtId="19" formatCode="m/d/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alignment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sz val="10"/>
        <color auto="1"/>
        <name val="Aptos Narrow"/>
        <scheme val="minor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sz val="10"/>
        <color auto="1"/>
        <name val="Aptos Narrow"/>
        <scheme val="minor"/>
      </font>
      <fill>
        <patternFill patternType="none"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strike val="0"/>
        <outline val="0"/>
        <shadow val="0"/>
        <vertAlign val="baseline"/>
        <sz val="10"/>
        <name val="Aptos Narrow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center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name val="Aptos Narrow"/>
        <scheme val="minor"/>
      </font>
      <alignment horizontal="center" vertical="center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name val="Aptos Narrow"/>
        <scheme val="minor"/>
      </font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name val="Aptos Narrow"/>
        <scheme val="minor"/>
      </font>
      <alignment horizontal="general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charset val="1"/>
        <scheme val="none"/>
      </font>
      <alignment horizontal="center" vertical="bottom" textRotation="0" wrapText="0" indent="0" justifyLastLine="0" shrinkToFit="0" readingOrder="0"/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3"/>
      </font>
      <numFmt numFmtId="21" formatCode="d\-mmm"/>
      <fill>
        <patternFill patternType="none"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3"/>
      </font>
      <numFmt numFmtId="21" formatCode="d\-mmm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bottom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1"/>
        <name val="Aptos Narrow"/>
        <family val="2"/>
        <scheme val="none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general" vertical="top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  <strike val="0"/>
        <outline val="0"/>
        <shadow val="0"/>
        <vertAlign val="baseline"/>
        <sz val="13"/>
        <color rgb="FF000000"/>
        <name val="Aptos Narrow"/>
      </font>
      <numFmt numFmtId="30" formatCode="@"/>
      <fill>
        <patternFill patternType="solid">
          <fgColor theme="4" tint="0.79998168889431442"/>
          <bgColor theme="4" tint="0.79998168889431442"/>
        </patternFill>
      </fill>
      <alignment horizontal="left" vertical="top" textRotation="0" wrapText="1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3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auto="1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trike val="0"/>
        <outline val="0"/>
        <shadow val="0"/>
        <u val="none"/>
        <vertAlign val="baseline"/>
        <sz val="13"/>
        <color theme="1"/>
      </font>
      <fill>
        <patternFill patternType="none">
          <bgColor auto="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1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3"/>
      </font>
      <fill>
        <patternFill patternType="solid">
          <fgColor theme="4" tint="0.79998168889431442"/>
          <bgColor theme="4" tint="0.79998168889431442"/>
        </patternFill>
      </fill>
      <alignment horizontal="left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3"/>
      </font>
      <numFmt numFmtId="1" formatCode="0"/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sz val="13"/>
      </font>
      <fill>
        <patternFill patternType="solid">
          <fgColor theme="4" tint="0.79998168889431442"/>
          <bgColor theme="4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auto="1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</dxfs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9C0006"/>
      <rgbColor rgb="FF006100"/>
      <rgbColor rgb="FF000080"/>
      <rgbColor rgb="FFC6EFCE"/>
      <rgbColor rgb="FF800080"/>
      <rgbColor rgb="FF156082"/>
      <rgbColor rgb="FFBFBFBF"/>
      <rgbColor rgb="FF61CBF4"/>
      <rgbColor rgb="FF83CBEB"/>
      <rgbColor rgb="FF993366"/>
      <rgbColor rgb="FFFBE3D6"/>
      <rgbColor rgb="FFCAEEFB"/>
      <rgbColor rgb="FF660066"/>
      <rgbColor rgb="FFFF6699"/>
      <rgbColor rgb="FF0099FF"/>
      <rgbColor rgb="FFD1D1D1"/>
      <rgbColor rgb="FF000080"/>
      <rgbColor rgb="FFCC00FF"/>
      <rgbColor rgb="FFB4E5A2"/>
      <rgbColor rgb="FF66FFCC"/>
      <rgbColor rgb="FF800080"/>
      <rgbColor rgb="FF800000"/>
      <rgbColor rgb="FF008080"/>
      <rgbColor rgb="FF0000FF"/>
      <rgbColor rgb="FF00B0F0"/>
      <rgbColor rgb="FFDDEBF7"/>
      <rgbColor rgb="FFD9F2D0"/>
      <rgbColor rgb="FFE8E8E8"/>
      <rgbColor rgb="FF96DCF8"/>
      <rgbColor rgb="FFE59EDD"/>
      <rgbColor rgb="FFF2CFEE"/>
      <rgbColor rgb="FFFFC7CE"/>
      <rgbColor rgb="FFC1E5F5"/>
      <rgbColor rgb="FF46B1E1"/>
      <rgbColor rgb="FF92D050"/>
      <rgbColor rgb="FFFED1CE"/>
      <rgbColor rgb="FFF2AA84"/>
      <rgbColor rgb="FFE97132"/>
      <rgbColor rgb="FF467886"/>
      <rgbColor rgb="FF70AD47"/>
      <rgbColor rgb="FF002060"/>
      <rgbColor rgb="FF4EA72E"/>
      <rgbColor rgb="FF003300"/>
      <rgbColor rgb="FF242424"/>
      <rgbColor rgb="FF993300"/>
      <rgbColor rgb="FF993366"/>
      <rgbColor rgb="FF104862"/>
      <rgbColor rgb="FF323130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E8F2"/>
      <color rgb="FFD5EAF8"/>
      <color rgb="FFC9EECE"/>
      <color rgb="FF0000FF"/>
      <color rgb="FFFFC7E0"/>
      <color rgb="FFF6FAC8"/>
      <color rgb="FFCEECFA"/>
      <color rgb="FFFFDBEB"/>
      <color rgb="FFF0696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17/06/relationships/rdRichValueStructure" Target="richData/rdrichvaluestructure.xml"/><Relationship Id="rId26" Type="http://schemas.openxmlformats.org/officeDocument/2006/relationships/customXml" Target="../customXml/item4.xml"/><Relationship Id="rId3" Type="http://schemas.openxmlformats.org/officeDocument/2006/relationships/worksheet" Target="worksheets/sheet3.xml"/><Relationship Id="rId21" Type="http://schemas.microsoft.com/office/2017/10/relationships/person" Target="persons/person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17" Type="http://schemas.microsoft.com/office/2017/06/relationships/rdRichValue" Target="richData/rdrichvalue.xml"/><Relationship Id="rId25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microsoft.com/office/2022/10/relationships/richValueRel" Target="richData/richValueRel.xml"/><Relationship Id="rId20" Type="http://schemas.openxmlformats.org/officeDocument/2006/relationships/powerPivotData" Target="model/item.data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24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23" Type="http://schemas.openxmlformats.org/officeDocument/2006/relationships/customXml" Target="../customXml/item1.xml"/><Relationship Id="rId10" Type="http://schemas.openxmlformats.org/officeDocument/2006/relationships/externalLink" Target="externalLinks/externalLink2.xml"/><Relationship Id="rId19" Type="http://schemas.microsoft.com/office/2017/06/relationships/rdRichValueTypes" Target="richData/rdRichValueTypes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Relationship Id="rId22" Type="http://schemas.openxmlformats.org/officeDocument/2006/relationships/calcChain" Target="calcChain.xml"/><Relationship Id="rId27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../../../../../../../flhosp.net/data/Nurs/NURS_ORL_STAFFMGMT/2018/J&amp;Ps/PD%202018%20JP%20WT12%206190.xlsx" TargetMode="External"/><Relationship Id="rId1" Type="http://schemas.openxmlformats.org/officeDocument/2006/relationships/externalLinkPath" Target="/flhosp.net/data/Nurs/NURS_ORL_STAFFMGMT/2018/J&amp;Ps/PD%202018%20JP%20WT12%206190.xlsx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hsonline.sharepoint.com/teams/AHONursingServiceLine/Shared%20Documents/General/J&amp;P%20References/2025%20Growth%20Pathway%20References.xlsx" TargetMode="External"/><Relationship Id="rId1" Type="http://schemas.openxmlformats.org/officeDocument/2006/relationships/externalLinkPath" Target="https://ahsonline.sharepoint.com/teams/AHONursingServiceLine/Shared%20Documents/General/J&amp;P%20References/2025%20Growth%20Pathway%20References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relativeUrl r:id="rId2"/>
    </xxl21:alternateUrls>
    <sheetNames>
      <sheetName val="2290"/>
    </sheetNames>
    <sheetDataSet>
      <sheetData sheetId="0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vimtIKzT-0ezdkDay0GyZczGImEwvE9GmqFvw6vofmEXNBN-5yaiRqEK-NqcnQRD" itemId="01HZUEXPE4HGTLS3X7KVF3IIYMVTRY6ZGY">
      <xxl21:absoluteUrl r:id="rId2"/>
    </xxl21:alternateUrls>
    <sheetNames>
      <sheetName val="Super user list"/>
      <sheetName val="champion list"/>
    </sheetNames>
    <sheetDataSet>
      <sheetData sheetId="0"/>
      <sheetData sheetId="1"/>
    </sheetDataSet>
  </externalBook>
</externalLink>
</file>

<file path=xl/persons/person.xml><?xml version="1.0" encoding="utf-8"?>
<personList xmlns="http://schemas.microsoft.com/office/spreadsheetml/2018/threadedcomments" xmlns:x="http://schemas.openxmlformats.org/spreadsheetml/2006/main"/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query (9)" backgroundRefresh="0" connectionId="5" xr16:uid="{01BEE8D6-D378-4406-8181-BF6253652953}" autoFormatId="16" applyNumberFormats="0" applyBorderFormats="0" applyFontFormats="0" applyPatternFormats="0" applyAlignmentFormats="0" applyWidthHeightFormats="0">
  <queryTableRefresh nextId="59">
    <queryTableFields count="28">
      <queryTableField id="31" name="Room" tableColumnId="1"/>
      <queryTableField id="32" name="Modified" tableColumnId="2"/>
      <queryTableField id="33" name="Modified By" tableColumnId="3"/>
      <queryTableField id="34" name="Name" tableColumnId="4"/>
      <queryTableField id="35" name="Service Line" tableColumnId="5"/>
      <queryTableField id="36" name="Clinical Needs to Continue Admission" tableColumnId="6"/>
      <queryTableField id="37" name="Dispo" tableColumnId="7"/>
      <queryTableField id="38" name="EDD" tableColumnId="8"/>
      <queryTableField id="39" name="MRN" tableColumnId="9"/>
      <queryTableField id="40" name="Non-Clinical DC Barriers" tableColumnId="10"/>
      <queryTableField id="41" name="SurgeryToday" tableColumnId="11"/>
      <queryTableField id="42" name="Surgery" tableColumnId="12"/>
      <queryTableField id="43" name="Drip" tableColumnId="13"/>
      <queryTableField id="44" name="Appointment Detail" tableColumnId="14"/>
      <queryTableField id="45" name="Admit Reason" tableColumnId="15"/>
      <queryTableField id="46" name="AdmitWeight" tableColumnId="16"/>
      <queryTableField id="47" name="WeightToday" tableColumnId="17"/>
      <queryTableField id="48" name="WeightChange" tableColumnId="18"/>
      <queryTableField id="49" name="LOS" tableColumnId="19"/>
      <queryTableField id="50" name="Braden" tableColumnId="20"/>
      <queryTableField id="51" name="Fall Risk" tableColumnId="21"/>
      <queryTableField id="52" name="CSN" tableColumnId="22"/>
      <queryTableField id="53" name="GMLOS" tableColumnId="23"/>
      <queryTableField id="54" name="Creatinine" tableColumnId="24"/>
      <queryTableField id="55" name="Potassium (K+)" tableColumnId="25"/>
      <queryTableField id="56" name="Magnesium" tableColumnId="26"/>
      <queryTableField id="57" name="Hemoglobin (Hgb)" tableColumnId="27"/>
      <queryTableField id="58" name="Incentive Spirometry" tableColumnId="28"/>
    </queryTableFields>
    <queryTableDeletedFields count="3">
      <deletedField name="Item Type"/>
      <deletedField name="Path"/>
      <deletedField name="Comments/Updates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adjustColumnWidth="0" connectionId="3" xr16:uid="{3E1FFEEA-600B-403C-A508-344D283D840D}" autoFormatId="16" applyNumberFormats="0" applyBorderFormats="0" applyFontFormats="0" applyPatternFormats="0" applyAlignmentFormats="0" applyWidthHeightFormats="0">
  <queryTableRefresh nextId="33">
    <queryTableFields count="11">
      <queryTableField id="5" name="EDD" tableColumnId="5"/>
      <queryTableField id="1" name="Room" tableColumnId="1"/>
      <queryTableField id="2" name="Name" tableColumnId="2"/>
      <queryTableField id="3" name="MRN" tableColumnId="3"/>
      <queryTableField id="4" name="Surgery" tableColumnId="4"/>
      <queryTableField id="6" name="LeaderActionItems" tableColumnId="6"/>
      <queryTableField id="12" name="NON-Clincal DC Barriers" tableColumnId="12"/>
      <queryTableField id="8" name="ConsultantsPending" tableColumnId="8"/>
      <queryTableField id="9" name="Dispo" tableColumnId="9"/>
      <queryTableField id="10" name="DCOrder" tableColumnId="10"/>
      <queryTableField id="11" name="MedRec" tableColumnId="11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backgroundRefresh="0" connectionId="1" xr16:uid="{5953A69D-8CD5-402F-8BF0-6BFE8B59B4A6}" autoFormatId="16" applyNumberFormats="0" applyBorderFormats="0" applyFontFormats="0" applyPatternFormats="0" applyAlignmentFormats="0" applyWidthHeightFormats="0">
  <queryTableRefresh nextId="22">
    <queryTableFields count="6">
      <queryTableField id="1" name="Room" tableColumnId="1"/>
      <queryTableField id="2" name="Time" tableColumnId="2"/>
      <queryTableField id="3" name="Name" tableColumnId="3"/>
      <queryTableField id="4" name="SurgeryToday" tableColumnId="4"/>
      <queryTableField id="20" name="Checklist" tableColumnId="20"/>
      <queryTableField id="21" name="Huron" tableColumnId="21"/>
    </queryTableFields>
  </queryTableRefresh>
  <extLst>
    <ext xmlns:x15="http://schemas.microsoft.com/office/spreadsheetml/2010/11/main" uri="{883FBD77-0823-4a55-B5E3-86C4891E6966}">
      <x15:queryTable sourceDataName="Query - SURGERY LIST"/>
    </ext>
  </extLst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adjustColumnWidth="0" connectionId="4" xr16:uid="{43A17474-1747-4831-88F6-85374D8DC814}" autoFormatId="16" applyNumberFormats="0" applyBorderFormats="0" applyFontFormats="0" applyPatternFormats="0" applyAlignmentFormats="0" applyWidthHeightFormats="0">
  <queryTableRefresh nextId="31">
    <queryTableFields count="10">
      <queryTableField id="1" name="Room" tableColumnId="1"/>
      <queryTableField id="2" name="Name" tableColumnId="2"/>
      <queryTableField id="3" name="MRN" tableColumnId="3"/>
      <queryTableField id="4" name="Clinical Needs to Continue Admission" tableColumnId="4"/>
      <queryTableField id="6" name="Non-Clinical DC Barrier" tableColumnId="6"/>
      <queryTableField id="7" name="SurgeryToday" tableColumnId="7"/>
      <queryTableField id="8" name="SurgeryBarriers" tableColumnId="8"/>
      <queryTableField id="9" name="Misaligned Dispo" tableColumnId="9"/>
      <queryTableField id="5" name="Dispo" tableColumnId="5"/>
      <queryTableField id="10" name="EDD" tableColumnId="10"/>
    </queryTableFields>
  </queryTableRefresh>
</queryTable>
</file>

<file path=xl/richData/_rels/richValueRel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3">
  <rv s="0">
    <v>0</v>
    <v>5</v>
  </rv>
  <rv s="0">
    <v>1</v>
    <v>5</v>
  </rv>
  <rv s="0">
    <v>2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  <rel r:id="rId2"/>
  <rel r:id="rId3"/>
</richValueRel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4E7D989B-56CC-4A1E-8669-97CB1B753741}" name="Table_query__9" displayName="Table_query__9" ref="A1:AB34" tableType="queryTable" totalsRowShown="0" headerRowDxfId="1" dataDxfId="0">
  <autoFilter ref="A1:AB34" xr:uid="{E0828C93-6094-4B5B-982B-423D3422DB70}"/>
  <tableColumns count="28">
    <tableColumn id="1" xr3:uid="{C2DC7D7D-33E6-4A53-9647-04A7F4EC25AE}" uniqueName="Title" name="Room" queryTableFieldId="31" dataDxfId="29"/>
    <tableColumn id="2" xr3:uid="{F1E096E9-0EA3-4265-B47D-975408E9A511}" uniqueName="Modified" name="Modified" queryTableFieldId="32" dataDxfId="28"/>
    <tableColumn id="3" xr3:uid="{4B2AB5E4-81F1-41E1-BE58-4B7DDD0D2A8E}" uniqueName="Editor" name="Modified By" queryTableFieldId="33" dataDxfId="27"/>
    <tableColumn id="4" xr3:uid="{BCE9B6B5-2D12-4EF0-AD44-81973D4226FE}" uniqueName="field_1" name="Name" queryTableFieldId="34" dataDxfId="26"/>
    <tableColumn id="5" xr3:uid="{69CD35F1-297D-4BE1-BB76-D52397682AFD}" uniqueName="field_18" name="Service Line" queryTableFieldId="35" dataDxfId="25"/>
    <tableColumn id="6" xr3:uid="{315B646F-4FB4-47B2-8C2C-721BC8181741}" uniqueName="field_22" name="Clinical Needs to Continue Admission" queryTableFieldId="36" dataDxfId="24"/>
    <tableColumn id="7" xr3:uid="{1EE90857-044F-490B-82DA-E1EE78784C83}" uniqueName="field_23" name="Dispo" queryTableFieldId="37" dataDxfId="23"/>
    <tableColumn id="8" xr3:uid="{82DF0DC2-D4C2-475E-8146-845E4D1C7595}" uniqueName="EDD" name="EDD" queryTableFieldId="38" dataDxfId="22"/>
    <tableColumn id="9" xr3:uid="{B57201F7-B2F0-46BC-B3BE-944080D57424}" uniqueName="MRN" name="MRN" queryTableFieldId="39" dataDxfId="21"/>
    <tableColumn id="10" xr3:uid="{F42B4D41-397C-4EA3-95FA-A4DF5E298889}" uniqueName="CMNotes" name="Non-Clinical DC Barriers" queryTableFieldId="40" dataDxfId="20"/>
    <tableColumn id="11" xr3:uid="{9B3A73E9-32A8-49D7-8686-FCACF1680EFE}" uniqueName="SurgeryToday" name="SurgeryToday" queryTableFieldId="41" dataDxfId="19"/>
    <tableColumn id="12" xr3:uid="{929B954F-D1DC-4D3B-961B-F5D81DE18C0B}" uniqueName="field_11" name="Surgery" queryTableFieldId="42" dataDxfId="18"/>
    <tableColumn id="13" xr3:uid="{F0779B17-E2AC-4B0A-ADBD-718ACEF86C21}" uniqueName="field_30" name="Drip" queryTableFieldId="43" dataDxfId="17"/>
    <tableColumn id="14" xr3:uid="{8FCDB55A-5C3E-443B-B116-5A80A4BDFB83}" uniqueName="AppointmentDetail" name="Appointment Detail" queryTableFieldId="44" dataDxfId="16"/>
    <tableColumn id="15" xr3:uid="{25AC5A73-DBA2-466C-9C2A-EF72CBD092ED}" uniqueName="field_3" name="Admit Reason" queryTableFieldId="45" dataDxfId="15"/>
    <tableColumn id="16" xr3:uid="{885468D0-F938-424B-83B1-349EDF8B3283}" uniqueName="field_4" name="AdmitWeight" queryTableFieldId="46" dataDxfId="14"/>
    <tableColumn id="17" xr3:uid="{5155F6E8-91AD-46C6-9AA2-217D67966E87}" uniqueName="field_5" name="WeightToday" queryTableFieldId="47" dataDxfId="13"/>
    <tableColumn id="18" xr3:uid="{6148EF6C-E7EE-4347-881E-F6AC0D54F199}" uniqueName="WeightChange" name="WeightChange" queryTableFieldId="48" dataDxfId="12"/>
    <tableColumn id="19" xr3:uid="{FCEB6C5A-AC10-47FD-846C-83F05F7018BC}" uniqueName="LOS" name="LOS" queryTableFieldId="49" dataDxfId="11"/>
    <tableColumn id="20" xr3:uid="{3A29890F-F368-4EC8-908D-6067BE685CBF}" uniqueName="Braden" name="Braden" queryTableFieldId="50" dataDxfId="10"/>
    <tableColumn id="21" xr3:uid="{F6D44396-F496-4D9D-BBF4-355EDBCF2D9F}" uniqueName="FallRisk" name="Fall Risk" queryTableFieldId="51" dataDxfId="9"/>
    <tableColumn id="22" xr3:uid="{55999409-D19C-4048-BEDE-2E075995AB14}" uniqueName="CSN" name="CSN" queryTableFieldId="52" dataDxfId="8"/>
    <tableColumn id="23" xr3:uid="{C441A29D-28FA-4D7E-9432-7CD2B7F8E255}" uniqueName="GMLOS" name="GMLOS" queryTableFieldId="53" dataDxfId="7"/>
    <tableColumn id="24" xr3:uid="{7B39DAB6-3B1F-4C26-BB5A-494411A63CE2}" uniqueName="Creatinine" name="Creatinine" queryTableFieldId="54" dataDxfId="6"/>
    <tableColumn id="25" xr3:uid="{2E6AFDFA-2955-40AF-9DB8-F2FE4C90E333}" uniqueName="Potassium_x005f_x0020__x005f_x0028_K_x005f_x002b__" name="Potassium (K+)" queryTableFieldId="55" dataDxfId="5"/>
    <tableColumn id="26" xr3:uid="{98444166-606C-4F8A-8FA1-376B6BE5855E}" uniqueName="Magnesium" name="Magnesium" queryTableFieldId="56" dataDxfId="4"/>
    <tableColumn id="27" xr3:uid="{13EABFEB-6EC8-4BDC-BAEB-28FA649C989D}" uniqueName="Hemoglobin_x005f_x0020__x005f_x0028_Hgb_x002" name="Hemoglobin (Hgb)" queryTableFieldId="57" dataDxfId="3"/>
    <tableColumn id="28" xr3:uid="{C05EA101-1A5D-4B33-833A-FF8F2C482AA4}" uniqueName="Incentive_x005f_x0020_Spirometry" name="Incentive Spirometry" queryTableFieldId="58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78817EEE-0A4B-49ED-97CA-C724FBF810B5}" name="Table2" displayName="Table2" ref="A4:I41" totalsRowCount="1" headerRowDxfId="125" totalsRowDxfId="122" headerRowBorderDxfId="124" tableBorderDxfId="123" totalsRowBorderDxfId="121">
  <autoFilter ref="A4:I40" xr:uid="{78817EEE-0A4B-49ED-97CA-C724FBF810B5}"/>
  <sortState xmlns:xlrd2="http://schemas.microsoft.com/office/spreadsheetml/2017/richdata2" ref="A5:I39">
    <sortCondition ref="B4:B39"/>
  </sortState>
  <tableColumns count="9">
    <tableColumn id="9" xr3:uid="{C1B95023-5219-47C7-902C-448625F08A0A}" name="DC TODAY" dataDxfId="120" totalsRowDxfId="119"/>
    <tableColumn id="1" xr3:uid="{683C54D3-3534-4985-B28C-0718E22AA45E}" name="ROOM" dataDxfId="118" totalsRowDxfId="117"/>
    <tableColumn id="2" xr3:uid="{D1B43EFE-3E69-47C1-930E-99887C4E501F}" name="Last Name" dataDxfId="116" totalsRowDxfId="115"/>
    <tableColumn id="3" xr3:uid="{466CB331-1893-46A1-B864-1FB5391F6E77}" name="MRN" dataDxfId="114" totalsRowDxfId="113"/>
    <tableColumn id="4" xr3:uid="{BFE3B675-4BA8-436E-8A7B-D1D634AED8BA}" name="LOS" dataDxfId="112" totalsRowDxfId="111"/>
    <tableColumn id="5" xr3:uid="{6A1CFC81-D36C-4F70-A0D5-54DB5AA3DFA6}" name="Brief Patient Note" dataDxfId="110" totalsRowDxfId="109"/>
    <tableColumn id="6" xr3:uid="{D261BD30-0D5F-4C2E-AA21-602BC428D1FB}" name="Leader Action Items regarding LOS:" dataDxfId="108" totalsRowDxfId="107"/>
    <tableColumn id="7" xr3:uid="{A08B895D-979B-4B31-A2B7-94A8F0F3EF65}" name="Dispo" dataDxfId="106" totalsRowDxfId="105"/>
    <tableColumn id="8" xr3:uid="{824E17D6-7098-42B4-ABD8-8DA9DC8E5F7C}" name="EDD" dataDxfId="104" totalsRowDxfId="103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CAUTICLABSI" displayName="CAUTICLABSI" ref="A5:T14" totalsRowShown="0" headerRowDxfId="102">
  <autoFilter ref="A5:T14" xr:uid="{00000000-0009-0000-0100-000005000000}"/>
  <sortState xmlns:xlrd2="http://schemas.microsoft.com/office/spreadsheetml/2017/richdata2" ref="A6:T14">
    <sortCondition ref="D5:D14"/>
  </sortState>
  <tableColumns count="20">
    <tableColumn id="37" xr3:uid="{2BA43B70-9695-4D08-AD74-BD6DD73B0CC8}" name="Column3" dataDxfId="101"/>
    <tableColumn id="1" xr3:uid="{00000000-0010-0000-0100-000001000000}" name="Patient Name" dataDxfId="100"/>
    <tableColumn id="2" xr3:uid="{00000000-0010-0000-0100-000002000000}" name="FIN" dataDxfId="99"/>
    <tableColumn id="3" xr3:uid="{00000000-0010-0000-0100-000003000000}" name="Room #" dataDxfId="98"/>
    <tableColumn id="4" xr3:uid="{00000000-0010-0000-0100-000004000000}" name="Line Type" dataDxfId="97"/>
    <tableColumn id="5" xr3:uid="{00000000-0010-0000-0100-000005000000}" name="Column1" dataDxfId="96"/>
    <tableColumn id="6" xr3:uid="{00000000-0010-0000-0100-000006000000}" name="Column2" dataDxfId="95"/>
    <tableColumn id="7" xr3:uid="{00000000-0010-0000-0100-000007000000}" name="REASON &amp; CONSIDERATIONS" dataDxfId="94"/>
    <tableColumn id="8" xr3:uid="{00000000-0010-0000-0100-000008000000}" name="Column8" dataDxfId="93"/>
    <tableColumn id="9" xr3:uid="{00000000-0010-0000-0100-000009000000}" name="Column9" dataDxfId="92"/>
    <tableColumn id="10" xr3:uid="{00000000-0010-0000-0100-00000A000000}" name="Column10" dataDxfId="91"/>
    <tableColumn id="11" xr3:uid="{00000000-0010-0000-0100-00000B000000}" name="Column11" dataDxfId="90"/>
    <tableColumn id="12" xr3:uid="{00000000-0010-0000-0100-00000C000000}" name="Column12" dataDxfId="89"/>
    <tableColumn id="13" xr3:uid="{00000000-0010-0000-0100-00000D000000}" name="Column13" dataDxfId="88"/>
    <tableColumn id="14" xr3:uid="{00000000-0010-0000-0100-00000E000000}" name="ABX DATE" dataDxfId="87"/>
    <tableColumn id="15" xr3:uid="{00000000-0010-0000-0100-00000F000000}" name="FoleyCare/ABATE" dataDxfId="86"/>
    <tableColumn id="16" xr3:uid="{00000000-0010-0000-0100-000010000000}" name="Column16" dataDxfId="85"/>
    <tableColumn id="17" xr3:uid="{00000000-0010-0000-0100-000011000000}" name="Column17" dataDxfId="84"/>
    <tableColumn id="18" xr3:uid="{00000000-0010-0000-0100-000012000000}" name="DSG DUE" dataDxfId="83"/>
    <tableColumn id="19" xr3:uid="{00000000-0010-0000-0100-000013000000}" name="Y/N" dataDxfId="82"/>
  </tableColumns>
  <tableStyleInfo name="TableStyleMedium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62054E77-A5E0-4AB6-B1A2-3EDB93A4CADD}" name="WT8DCLIST" displayName="WT8DCLIST" ref="A2:K11" tableType="queryTable" totalsRowShown="0" headerRowDxfId="81" dataDxfId="80" tableBorderDxfId="79">
  <autoFilter ref="A2:K11" xr:uid="{62054E77-A5E0-4AB6-B1A2-3EDB93A4CADD}"/>
  <tableColumns count="11">
    <tableColumn id="5" xr3:uid="{7C749A09-ABF7-462E-87E7-DDC7E1957D07}" uniqueName="5" name="EDD" queryTableFieldId="5" dataDxfId="78"/>
    <tableColumn id="1" xr3:uid="{A0AB3133-3804-4C39-90EF-D3831205D673}" uniqueName="1" name="Room" queryTableFieldId="1" dataDxfId="77"/>
    <tableColumn id="2" xr3:uid="{9121A0B7-574D-487D-B358-798F6ABA1BDF}" uniqueName="2" name="Name" queryTableFieldId="2" dataDxfId="76"/>
    <tableColumn id="3" xr3:uid="{83585690-0814-4E78-B594-D7A497D97778}" uniqueName="3" name="MRN" queryTableFieldId="3" dataDxfId="75"/>
    <tableColumn id="4" xr3:uid="{CB05FE04-FF48-4664-B358-9E22C9A88BD1}" uniqueName="4" name="Surgery" queryTableFieldId="4" dataDxfId="74"/>
    <tableColumn id="6" xr3:uid="{5870507B-565A-407A-AC4F-943DBFC96083}" uniqueName="6" name="LeaderActionItems" queryTableFieldId="6" dataDxfId="73"/>
    <tableColumn id="12" xr3:uid="{BCB121FC-DA90-427D-B81A-B5C2D952B504}" uniqueName="12" name="NON-Clincal DC Barriers" queryTableFieldId="12" dataDxfId="72"/>
    <tableColumn id="8" xr3:uid="{A65015DE-F901-4D6F-80F9-EE5CEEA9D1E9}" uniqueName="8" name="ConsultantsPending" queryTableFieldId="8" dataDxfId="71"/>
    <tableColumn id="9" xr3:uid="{E7D3DBFC-7A36-486C-92D0-750F7C4B58FD}" uniqueName="9" name="Dispo" queryTableFieldId="9" dataDxfId="70"/>
    <tableColumn id="10" xr3:uid="{13D117AC-BBD3-4FE9-B627-13EB431B1A27}" uniqueName="10" name="DCOrder" queryTableFieldId="10" dataDxfId="69"/>
    <tableColumn id="11" xr3:uid="{0CD7C7A9-DD35-4A99-9282-DD1600A54C01}" uniqueName="11" name="MedRec" queryTableFieldId="11" dataDxfId="68"/>
  </tableColumns>
  <tableStyleInfo name="TableStyleMedium7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57710C6-4C11-49FB-AE9D-A1FB25F8761A}" name="SURGERY_LIST" displayName="SURGERY_LIST" ref="A40:F46" tableType="queryTable" totalsRowShown="0" headerRowDxfId="48" dataDxfId="49">
  <autoFilter ref="A40:F46" xr:uid="{E57710C6-4C11-49FB-AE9D-A1FB25F8761A}"/>
  <tableColumns count="6">
    <tableColumn id="1" xr3:uid="{ED8EE9EB-1513-4BAD-88BD-9184EEB93875}" uniqueName="1" name="Room" queryTableFieldId="1" dataDxfId="55"/>
    <tableColumn id="2" xr3:uid="{FB82499F-4B00-45DF-92A1-7DAC60C3C60A}" uniqueName="2" name="Time" queryTableFieldId="2" dataDxfId="54"/>
    <tableColumn id="3" xr3:uid="{E1CBBBA2-5829-4543-9C42-9AAFB98C8CAC}" uniqueName="3" name="Name" queryTableFieldId="3" dataDxfId="53"/>
    <tableColumn id="4" xr3:uid="{39817E68-4ADD-4D86-A627-FDAB183D1F26}" uniqueName="4" name="SurgeryToday" queryTableFieldId="4" dataDxfId="52"/>
    <tableColumn id="20" xr3:uid="{A4BA41C9-BCA6-48D4-A5A5-90A8054D69F6}" uniqueName="20" name="Checklist" queryTableFieldId="20" dataDxfId="51"/>
    <tableColumn id="21" xr3:uid="{AFE72AEC-8669-43F1-B003-0606468535B2}" uniqueName="21" name="Huron" queryTableFieldId="21" dataDxfId="50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06F1D8C-8BE0-4925-8C37-CDA36A5A1867}" name="WT8UNITGUIDE" displayName="WT8UNITGUIDE" ref="A3:J36" tableType="queryTable" totalsRowShown="0" headerRowDxfId="67" dataDxfId="66">
  <autoFilter ref="A3:J36" xr:uid="{006F1D8C-8BE0-4925-8C37-CDA36A5A1867}"/>
  <tableColumns count="10">
    <tableColumn id="1" xr3:uid="{5AA39D5E-12FC-4028-952B-EF75B3CE4E7A}" uniqueName="1" name="Room" queryTableFieldId="1" dataDxfId="65"/>
    <tableColumn id="2" xr3:uid="{2A062E2F-54DC-4B55-ADED-2A5361990E57}" uniqueName="2" name="Name" queryTableFieldId="2" dataDxfId="64"/>
    <tableColumn id="3" xr3:uid="{71188509-AAC6-4BA1-8952-4EF1BCF7D001}" uniqueName="3" name="MRN" queryTableFieldId="3" dataDxfId="63"/>
    <tableColumn id="4" xr3:uid="{73F5FE84-9B1F-4E21-91C8-EB2CD1B310F0}" uniqueName="4" name="Clinical Needs to Continue Admission" queryTableFieldId="4" dataDxfId="62"/>
    <tableColumn id="6" xr3:uid="{1BE5EE79-DFA8-4EB5-B3E5-E665CDD3A2C6}" uniqueName="6" name="Non-Clinical DC Barrier" queryTableFieldId="6" dataDxfId="61"/>
    <tableColumn id="7" xr3:uid="{19C59757-94CE-49B8-B35E-2B8EC878C2A5}" uniqueName="7" name="SurgeryToday" queryTableFieldId="7" dataDxfId="60"/>
    <tableColumn id="8" xr3:uid="{77B56C3D-7D34-40A0-A3DA-6DFA7CCB8017}" uniqueName="8" name="SurgeryBarriers" queryTableFieldId="8" dataDxfId="59"/>
    <tableColumn id="9" xr3:uid="{E6D24E0E-6AFE-4FE0-9DAC-727FCC58C1A5}" uniqueName="9" name="Misaligned Dispo" queryTableFieldId="9" dataDxfId="58"/>
    <tableColumn id="5" xr3:uid="{FF66E642-52F0-467A-93EB-BA75FEE13102}" uniqueName="5" name="Dispo" queryTableFieldId="5" dataDxfId="57"/>
    <tableColumn id="10" xr3:uid="{442E8608-7B97-484F-AE95-05F8FC9CAA36}" uniqueName="10" name="EDD" queryTableFieldId="10" dataDxfId="56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ROOMS" displayName="ROOMS" ref="A1:A37" totalsRowShown="0">
  <autoFilter ref="A1:A37" xr:uid="{00000000-0009-0000-0100-000001000000}"/>
  <tableColumns count="1">
    <tableColumn id="1" xr3:uid="{00000000-0010-0000-0200-000001000000}" name="Column1"/>
  </tableColumns>
  <tableStyleInfo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able11" displayName="Table11" ref="G1:G3" totalsRowShown="0">
  <autoFilter ref="G1:G3" xr:uid="{00000000-0009-0000-0100-000003000000}"/>
  <tableColumns count="1">
    <tableColumn id="1" xr3:uid="{00000000-0010-0000-0300-000001000000}" name="Column1"/>
  </tableColumns>
  <tableStyleInfo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4000000}" name="Table5" displayName="Table5" ref="C1:C5" totalsRowShown="0">
  <autoFilter ref="C1:C5" xr:uid="{00000000-0009-0000-0100-000004000000}"/>
  <tableColumns count="1">
    <tableColumn id="1" xr3:uid="{00000000-0010-0000-0400-000001000000}" name="Column1"/>
  </tableColumns>
  <tableStyleInfo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9" displayName="Table9" ref="E1:E10" totalsRowShown="0">
  <autoFilter ref="E1:E10" xr:uid="{00000000-0009-0000-0100-000006000000}"/>
  <tableColumns count="1">
    <tableColumn id="1" xr3:uid="{00000000-0010-0000-0500-000001000000}" name="Column1"/>
  </tableColumns>
  <tableStyleInfo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rgbClr val="000000"/>
      </a:dk1>
      <a:lt1>
        <a:srgbClr val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</a:majorFont>
      <a:minorFont>
        <a:latin typeface="Aptos Narrow" panose="02110004020202020204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/>
        </a:gradFill>
      </a:fillStyleLst>
      <a:lnStyleLst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  <a:ln w="2540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350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332642E3-11C3-44D2-8C6E-61FCF72D1EAD}">
  <we:reference id="wa200001584" version="3.0.5.6" store="en-US" storeType="OMEX"/>
  <we:alternateReferences>
    <we:reference id="WA200001584" version="3.0.5.6" store="WA200001584" storeType="OMEX"/>
  </we:alternateReferences>
  <we:properties/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aims.adventhealth.com/AIMS3_PRD/EasyNet?formID=11" TargetMode="External"/><Relationship Id="rId13" Type="http://schemas.openxmlformats.org/officeDocument/2006/relationships/hyperlink" Target="https://forms.office.com/Pages/ResponsePage.aspx?id=eGbDaoV3b0e-A7aLQDc0wn-412AwbU5Poy9W8btZq9VUM0dRTEk3QVdZSDJPVkhWOEtaVjY0Q1lKRiQlQCN0PWcu" TargetMode="External"/><Relationship Id="rId3" Type="http://schemas.openxmlformats.org/officeDocument/2006/relationships/hyperlink" Target="https://acm.webapps.adventhealth.com/" TargetMode="External"/><Relationship Id="rId7" Type="http://schemas.openxmlformats.org/officeDocument/2006/relationships/hyperlink" Target="https://apps.powerapps.com/play/e/default-6ac36678-7785-476f-be03-b68b403734c2/a/b3b41cae-2056-4b29-9d46-d97fb4a39cb3?tenantId=6ac36678-7785-476f-be03-b68b403734c2&amp;hint=11bea73b-fd5b-43fa-b4cc-ee01faf72761&amp;sourcetime=1699684631990&amp;source=portal" TargetMode="External"/><Relationship Id="rId12" Type="http://schemas.openxmlformats.org/officeDocument/2006/relationships/hyperlink" Target="https://forms.office.com/r/LzpcHuf5BS" TargetMode="External"/><Relationship Id="rId2" Type="http://schemas.openxmlformats.org/officeDocument/2006/relationships/hyperlink" Target="https://forms.office.com/pages/responsepage.aspx?id=eGbDaoV3b0e-A7aLQDc0wgDEuszeow5JhHLSvIs1nS1UNVA1WkpHOVlEQ0pFVENRRzYwV0FWTURMOSQlQCN0PWcu" TargetMode="External"/><Relationship Id="rId1" Type="http://schemas.openxmlformats.org/officeDocument/2006/relationships/hyperlink" Target="https://forms.cloud.microsoft/Pages/ResponsePage.aspx?id=eGbDaoV3b0e-A7aLQDc0wr1htiXwwbZMvUwPEczcQq1URTZIQ0QzOTg2VU01VzU0SzRCTzI3UFJGSy4u&amp;origin=QRCode" TargetMode="External"/><Relationship Id="rId6" Type="http://schemas.openxmlformats.org/officeDocument/2006/relationships/hyperlink" Target="https://rounding.huronaccelerators.com/activity" TargetMode="External"/><Relationship Id="rId11" Type="http://schemas.openxmlformats.org/officeDocument/2006/relationships/hyperlink" Target="https://forms.office.com/Pages/ResponsePage.aspx?id=eGbDaoV3b0e-A7aLQDc0wn-412AwbU5Poy9W8btZq9VUOVhZTExDV1lVSFFTTDAxSVFBVVBKR1pZSCQlQCN0PWcu" TargetMode="External"/><Relationship Id="rId5" Type="http://schemas.openxmlformats.org/officeDocument/2006/relationships/hyperlink" Target="https://ahsonline-my.sharepoint.com/:x:/r/personal/lan16f_multihosp_net/Documents/Readmission%20Huddle%20Workbook_Cardiac.xlsx?d=w5ffc6a3f45a5444d898101cde74b6811&amp;csf=1&amp;web=1&amp;e=qm5TPf" TargetMode="External"/><Relationship Id="rId15" Type="http://schemas.openxmlformats.org/officeDocument/2006/relationships/hyperlink" Target="https://forms.office.com/Pages/ResponsePage.aspx?id=eGbDaoV3b0e-A7aLQDc0wmvf76fZlUZFlDWd9njWJXlUQVVFVE8yRjMwU0JGVzMxQzhXUjZYUE5BMi4u" TargetMode="External"/><Relationship Id="rId10" Type="http://schemas.openxmlformats.org/officeDocument/2006/relationships/hyperlink" Target="../../../Lists/CTPCU%20staff%20phone%20list%202022/AllItems.aspx?viewid=a9169f67%2Dc5bf%2D4d7b%2D8a77%2Dc9e3b780515f" TargetMode="External"/><Relationship Id="rId4" Type="http://schemas.openxmlformats.org/officeDocument/2006/relationships/hyperlink" Target="../../../Lists/CTPCU%20POC%20TOOL%20V5/AllItems.aspx" TargetMode="External"/><Relationship Id="rId9" Type="http://schemas.openxmlformats.org/officeDocument/2006/relationships/hyperlink" Target="https://forms.cloud.microsoft/pages/responsepage.aspx?id=eGbDaoV3b0e-A7aLQDc0wgDEuszeow5JhHLSvIs1nS1UMEhLREpCSEhUTUlMRk1TNlhSRjJSOU5aNiQlQCN0PWcu&amp;origin=QRCode&amp;qrcodeorigin=presentation&amp;route=shorturl" TargetMode="External"/><Relationship Id="rId14" Type="http://schemas.openxmlformats.org/officeDocument/2006/relationships/hyperlink" Target="https://forms.office.com/Pages/ResponsePage.aspx?id=eGbDaoV3b0e-A7aLQDc0wn-412AwbU5Poy9W8btZq9VUNDRST0JGNTlFR1dVMEpSNjVNWTQzNDRaMSQlQCN0PWcu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https://apps.powerapps.com/play/e/default-6ac36678-7785-476f-be03-b68b403734c2/a/f974c36f-eb77-49dd-be9b-ed552dcf8d08?tenantId=6ac36678-7785-476f-be03-b68b403734c2&amp;hint=adb8bbc8-1707-449b-8659-7135de215863&amp;sourcetime=1757396509180&amp;source=portal" TargetMode="External"/><Relationship Id="rId1" Type="http://schemas.openxmlformats.org/officeDocument/2006/relationships/hyperlink" Target="../../../Lists/CTPCU%20POC%20TOOL%20V5/AllItems.aspx?viewid=705a56db%2D1922%2D4866%2Db939%2D45ec712b019c&amp;env=WebViewList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https://forms.office.com/Pages/ResponsePage.aspx?id=eGbDaoV3b0e-A7aLQDc0wn-412AwbU5Poy9W8btZq9VUM0dRTEk3QVdZSDJPVkhWOEtaVjY0Q1lKRiQlQCN0PWcu" TargetMode="External"/><Relationship Id="rId18" Type="http://schemas.openxmlformats.org/officeDocument/2006/relationships/hyperlink" Target="../../../../../:b:/r/teams/WT8Charge/Shared%20Documents/General/Master%20Template%20folder/PEER%20TO%20PEER%20CENTRAL%20LINE%20SHEET.pdf?csf=1&amp;web=1&amp;e=nQfFDY" TargetMode="External"/><Relationship Id="rId26" Type="http://schemas.openxmlformats.org/officeDocument/2006/relationships/hyperlink" Target="https://ahsonline-my.sharepoint.com/:x:/r/personal/cpe9b1_multihosp_net/Documents/ICU.PCU%20Capacity%20Throughput%20Report%20Off%20.xlsx?d=wf36a9ccb298a4b1b8aae96d511565aa5&amp;csf=1&amp;web=1&amp;e=0J9vAT" TargetMode="External"/><Relationship Id="rId3" Type="http://schemas.openxmlformats.org/officeDocument/2006/relationships/hyperlink" Target="https://forms.office.com/pages/responsepage.aspx?id=eGbDaoV3b0e-A7aLQDc0wgDEuszeow5JhHLSvIs1nS1UNVA1WkpHOVlEQ0pFVENRRzYwV0FWTURMOSQlQCN0PWcu" TargetMode="External"/><Relationship Id="rId21" Type="http://schemas.openxmlformats.org/officeDocument/2006/relationships/hyperlink" Target="https://forms.office.com/r/LzpcHuf5BS" TargetMode="External"/><Relationship Id="rId7" Type="http://schemas.openxmlformats.org/officeDocument/2006/relationships/hyperlink" Target="https://acm.webapps.adventhealth.com/" TargetMode="External"/><Relationship Id="rId12" Type="http://schemas.openxmlformats.org/officeDocument/2006/relationships/hyperlink" Target="../../../../../:w:/r/teams/WT8Charge/Shared%20Documents/General/WT8%20PCT%20report%20sheet%202025.docx?d=w89a6b003c1e64e0b8a38d5a28f0f8f99&amp;csf=1&amp;web=1&amp;e=zKkG2x" TargetMode="External"/><Relationship Id="rId17" Type="http://schemas.openxmlformats.org/officeDocument/2006/relationships/hyperlink" Target="BLOOD%20PRODUCT%20RIDER.pdf" TargetMode="External"/><Relationship Id="rId25" Type="http://schemas.openxmlformats.org/officeDocument/2006/relationships/hyperlink" Target="https://ahsonline-my.sharepoint.com/:x:/g/personal/jrod86_multihosp_net/EcWUEAvv18VBvmHLaKv4lbcBcyqypMJTcgcC2NubUAIqKg?e=V3mh7h&amp;CID=65c2f8d0-9b96-2e0b-1628-04d8a51c58f5" TargetMode="External"/><Relationship Id="rId33" Type="http://schemas.openxmlformats.org/officeDocument/2006/relationships/printerSettings" Target="../printerSettings/printerSettings3.bin"/><Relationship Id="rId2" Type="http://schemas.openxmlformats.org/officeDocument/2006/relationships/hyperlink" Target="https://www.gehealthcare.com/support/home" TargetMode="External"/><Relationship Id="rId16" Type="http://schemas.openxmlformats.org/officeDocument/2006/relationships/hyperlink" Target="https://ahsonline-my.sharepoint.com/:x:/r/personal/eaeaef_multihosp_net/Documents/Flex%20EOSR%20WT8.xlsx?d=w43d20d8e553f4d278440523854d10e6f&amp;csf=1&amp;web=1&amp;e=zfgXuy" TargetMode="External"/><Relationship Id="rId20" Type="http://schemas.openxmlformats.org/officeDocument/2006/relationships/hyperlink" Target="https://forms.office.com/Pages/ResponsePage.aspx?id=eGbDaoV3b0e-A7aLQDc0wmvf76fZlUZFlDWd9njWJXlUQVVFVE8yRjMwU0JGVzMxQzhXUjZYUE5BMi4u" TargetMode="External"/><Relationship Id="rId29" Type="http://schemas.openxmlformats.org/officeDocument/2006/relationships/hyperlink" Target="https://forms.office.com/Pages/ResponsePage.aspx?id=eGbDaoV3b0e-A7aLQDc0wuruXDF9brJDkjLe3YLbcj5UNVJCRVM4N09EVllDWTBCRUUyVEIzUlA2Sy4u" TargetMode="External"/><Relationship Id="rId1" Type="http://schemas.openxmlformats.org/officeDocument/2006/relationships/hyperlink" Target="https://qlikview.adventhealth.com/QvAJAXZfc/opendoc.htm?document=laborproductivity%5Clabor%20productivity.qvw&amp;lang=en-US&amp;host=QVS%40ProdCluster" TargetMode="External"/><Relationship Id="rId6" Type="http://schemas.openxmlformats.org/officeDocument/2006/relationships/hyperlink" Target="../../../Lists/CTPCU%20staff%20phone%20list%202022/AllItems.aspx?viewid=a9169f67%2Dc5bf%2D4d7b%2D8a77%2Dc9e3b780515f" TargetMode="External"/><Relationship Id="rId11" Type="http://schemas.openxmlformats.org/officeDocument/2006/relationships/hyperlink" Target="https://forms.office.com/Pages/ResponsePage.aspx?id=eGbDaoV3b0e-A7aLQDc0wn-412AwbU5Poy9W8btZq9VUM0dRTEk3QVdZSDJPVkhWOEtaVjY0Q1lKRiQlQCN0PWcu" TargetMode="External"/><Relationship Id="rId24" Type="http://schemas.openxmlformats.org/officeDocument/2006/relationships/hyperlink" Target="../../../Lists/CTPCU%20POC%20TOOL%20V5/AllItems.aspx?viewid=705a56db-1922-4866-b939-45ec712b019c&amp;env=WebViewList" TargetMode="External"/><Relationship Id="rId32" Type="http://schemas.openxmlformats.org/officeDocument/2006/relationships/hyperlink" Target="https://forms.office.com/Pages/ResponsePage.aspx?id=eGbDaoV3b0e-A7aLQDc0wr1htiXwwbZMvUwPEczcQq1URTZIQ0QzOTg2VU01VzU0SzRCTzI3UFJGSy4u&amp;origin=QRCode" TargetMode="External"/><Relationship Id="rId5" Type="http://schemas.openxmlformats.org/officeDocument/2006/relationships/hyperlink" Target="https://portal.myrounding.com/" TargetMode="External"/><Relationship Id="rId15" Type="http://schemas.openxmlformats.org/officeDocument/2006/relationships/hyperlink" Target="https://forms.office.com/Pages/ResponsePage.aspx?id=eGbDaoV3b0e-A7aLQDc0wn-412AwbU5Poy9W8btZq9VUNDRST0JGNTlFR1dVMEpSNjVNWTQzNDRaMSQlQCN0PWcu" TargetMode="External"/><Relationship Id="rId23" Type="http://schemas.openxmlformats.org/officeDocument/2006/relationships/hyperlink" Target="../../../Lists/CTPCU%20POC%20TOOL%20V5/AllItems.aspx" TargetMode="External"/><Relationship Id="rId28" Type="http://schemas.openxmlformats.org/officeDocument/2006/relationships/hyperlink" Target="../../../../../../jrod86_multihosp_net/Lists/Text%20%20FWT%20Flow/Active%20Call%20Dashboard.aspx?ct=1765244982551&amp;or=Teams-HL&amp;LOF=1" TargetMode="External"/><Relationship Id="rId10" Type="http://schemas.openxmlformats.org/officeDocument/2006/relationships/hyperlink" Target="../../../../../:x:/r/teams/ORLCampusStaffingOffice-CardiacServiceLine/Shared%20Documents/Cardiac%20Service%20Line/Cardiac%20Service%20Line%20Workbook%20v3.7.24.xlsx?d=w7391d71e1e1e494ea7c6fc33ce0456e5&amp;csf=1&amp;web=1&amp;e=FvjlCM" TargetMode="External"/><Relationship Id="rId19" Type="http://schemas.openxmlformats.org/officeDocument/2006/relationships/hyperlink" Target="../../../../../:w:/r/teams/WT8Charge/Shared%20Documents/General/Master%20Template%20folder/STPCUv2%20Nursing%20Report%20Sheet%202024.docx?d=w795a02472c5e48328c3546ebc89341cc&amp;csf=1&amp;web=1&amp;e=aYuYLo" TargetMode="External"/><Relationship Id="rId31" Type="http://schemas.openxmlformats.org/officeDocument/2006/relationships/hyperlink" Target="https://forms.office.com/Pages/ResponsePage.aspx?id=eGbDaoV3b0e-A7aLQDc0wuruXDF9brJDkjLe3YLbcj5UNVJCRVM4N09EVllDWTBCRUUyVEIzUlA2Sy4u&amp;origin=QRCode" TargetMode="External"/><Relationship Id="rId4" Type="http://schemas.openxmlformats.org/officeDocument/2006/relationships/hyperlink" Target="https://forms.office.com/Pages/ResponsePage.aspx?id=eGbDaoV3b0e-A7aLQDc0wowAx1emY8FOmzL37G7BcZ5UNEhOSUxSOFdLWFQyVUdOODhDVjAyNVZHVS4u" TargetMode="External"/><Relationship Id="rId9" Type="http://schemas.openxmlformats.org/officeDocument/2006/relationships/hyperlink" Target="https://forms.office.com/Pages/ResponsePage.aspx?id=eGbDaoV3b0e-A7aLQDc0wn-412AwbU5Poy9W8btZq9VUOUlIRlJXWE1FN0E3TkdaWklFTFkwTlJGRCQlQCN0PWcu" TargetMode="External"/><Relationship Id="rId14" Type="http://schemas.openxmlformats.org/officeDocument/2006/relationships/hyperlink" Target="https://forms.office.com/Pages/ResponsePage.aspx?id=eGbDaoV3b0e-A7aLQDc0wn-412AwbU5Poy9W8btZq9VUOVhZTExDV1lVSFFTTDAxSVFBVVBKR1pZSCQlQCN0PWcu" TargetMode="External"/><Relationship Id="rId22" Type="http://schemas.openxmlformats.org/officeDocument/2006/relationships/hyperlink" Target="https://ahsonline-my.sharepoint.com/:x:/r/personal/cpe9b1_multihosp_net/Documents/ICU.PCU%20Capacity%20Throughput%20Report%20Off%20.xlsx?d=wf36a9ccb298a4b1b8aae96d511565aa5&amp;csf=1&amp;web=1&amp;e=MHDrJy" TargetMode="External"/><Relationship Id="rId27" Type="http://schemas.openxmlformats.org/officeDocument/2006/relationships/hyperlink" Target="https://forms.office.com/pages/responsepage.aspx?id=eGbDaoV3b0e-A7aLQDc0wn-412AwbU5Poy9W8btZq9VUMTMzTFRNUU9DSFBPREZCOExHUkFCRzlBTSQlQCN0PWcu" TargetMode="External"/><Relationship Id="rId30" Type="http://schemas.openxmlformats.org/officeDocument/2006/relationships/hyperlink" Target="https://forms.office.com/Pages/ResponsePage.aspx?id=eGbDaoV3b0e-A7aLQDc0wr1htiXwwbZMvUwPEczcQq1UMkIyQlhFMFUxSzhROVdKNFZVUkRLVDBMWi4u&amp;origin=QRCode" TargetMode="External"/><Relationship Id="rId8" Type="http://schemas.openxmlformats.org/officeDocument/2006/relationships/hyperlink" Target="../../../../../:x:/r/teams/AHONursingServiceLine/_layouts/15/Doc.aspx?sourcedoc=%7BC4FD27E1-0531-4702-A9EF-8905210346D8%7D&amp;file=WT8.xlsx&amp;nav=MTBfezRDMEZFNkM2LTE3NUEtNDNFMy04N0YxLTI1MEVGRTQxQjgyN31fezcyNUI3RDc4LTRENkUtNEM2Qi05NUNGLTEyOUIxQUI3RjM4NH0&amp;action=default&amp;mobileredirect=true" TargetMode="Externa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printerSettings" Target="../printerSettings/printerSettings6.bin"/><Relationship Id="rId1" Type="http://schemas.openxmlformats.org/officeDocument/2006/relationships/hyperlink" Target="../../../Lists/CTPCU%20POC%20TOOL%20V5/AllItems.aspx?sortField=Title&amp;isAscending=true&amp;viewid=705a56db%2D1922%2D4866%2Db939%2D45ec712b019c&amp;env=WebViewList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7.bin"/><Relationship Id="rId5" Type="http://schemas.openxmlformats.org/officeDocument/2006/relationships/table" Target="../tables/table10.xml"/><Relationship Id="rId4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84080C-2040-4404-A8AF-2425EAA151EC}">
  <sheetPr codeName="Sheet6">
    <pageSetUpPr fitToPage="1"/>
  </sheetPr>
  <dimension ref="A1:AB34"/>
  <sheetViews>
    <sheetView workbookViewId="0">
      <selection activeCell="Q1" sqref="P1:Q1048576"/>
    </sheetView>
  </sheetViews>
  <sheetFormatPr defaultColWidth="9.140625" defaultRowHeight="15"/>
  <cols>
    <col min="1" max="1" width="8.5703125" style="68" bestFit="1" customWidth="1"/>
    <col min="2" max="2" width="14.5703125" style="68" bestFit="1" customWidth="1"/>
    <col min="3" max="3" width="15.42578125" style="68" bestFit="1" customWidth="1"/>
    <col min="4" max="4" width="30.42578125" style="68" bestFit="1" customWidth="1"/>
    <col min="5" max="5" width="16.7109375" style="68" bestFit="1" customWidth="1"/>
    <col min="6" max="6" width="38.28515625" style="68" bestFit="1" customWidth="1"/>
    <col min="7" max="7" width="40.42578125" style="68" customWidth="1"/>
    <col min="8" max="8" width="9.42578125" style="68" bestFit="1" customWidth="1"/>
    <col min="9" max="9" width="10" style="68" bestFit="1" customWidth="1"/>
    <col min="10" max="10" width="25.7109375" style="68" bestFit="1" customWidth="1"/>
    <col min="11" max="11" width="15.5703125" style="68" bestFit="1" customWidth="1"/>
    <col min="12" max="12" width="18.5703125" style="68" customWidth="1"/>
    <col min="13" max="13" width="13.5703125" style="68" customWidth="1"/>
    <col min="14" max="14" width="21.140625" style="68" bestFit="1" customWidth="1"/>
    <col min="15" max="15" width="15.85546875" style="68" bestFit="1" customWidth="1"/>
    <col min="16" max="17" width="15" style="68" hidden="1" customWidth="1"/>
    <col min="18" max="18" width="16.7109375" style="68" bestFit="1" customWidth="1"/>
    <col min="19" max="19" width="6.85546875" style="68" bestFit="1" customWidth="1"/>
    <col min="20" max="20" width="9.5703125" style="68" bestFit="1" customWidth="1"/>
    <col min="21" max="21" width="10.7109375" style="68" bestFit="1" customWidth="1"/>
    <col min="22" max="22" width="11.5703125" style="68" hidden="1" customWidth="1"/>
    <col min="23" max="23" width="9.85546875" style="68" bestFit="1" customWidth="1"/>
    <col min="24" max="24" width="12.85546875" style="68" bestFit="1" customWidth="1"/>
    <col min="25" max="25" width="16.85546875" style="68" bestFit="1" customWidth="1"/>
    <col min="26" max="26" width="13.5703125" style="68" bestFit="1" customWidth="1"/>
    <col min="27" max="27" width="20" style="68" bestFit="1" customWidth="1"/>
    <col min="28" max="28" width="22.42578125" style="68" hidden="1" customWidth="1"/>
    <col min="29" max="29" width="8.5703125" style="68" bestFit="1" customWidth="1"/>
    <col min="30" max="30" width="11.42578125" style="68" bestFit="1" customWidth="1"/>
    <col min="31" max="31" width="13.85546875" style="68" bestFit="1" customWidth="1"/>
    <col min="32" max="32" width="8.5703125" style="68" bestFit="1" customWidth="1"/>
    <col min="33" max="33" width="14.28515625" style="68" bestFit="1" customWidth="1"/>
    <col min="34" max="34" width="38.28515625" style="68" bestFit="1" customWidth="1"/>
    <col min="35" max="35" width="8.5703125" style="68" bestFit="1" customWidth="1"/>
    <col min="36" max="36" width="7.42578125" style="68" bestFit="1" customWidth="1"/>
    <col min="37" max="37" width="10" style="68" bestFit="1" customWidth="1"/>
    <col min="38" max="38" width="25.7109375" style="68" bestFit="1" customWidth="1"/>
    <col min="39" max="39" width="17.28515625" style="68" bestFit="1" customWidth="1"/>
    <col min="40" max="40" width="15.5703125" style="68" bestFit="1" customWidth="1"/>
    <col min="41" max="41" width="8.5703125" style="68" bestFit="1" customWidth="1"/>
    <col min="42" max="42" width="6.28515625" style="68" bestFit="1" customWidth="1"/>
    <col min="43" max="43" width="10.140625" style="68" bestFit="1" customWidth="1"/>
    <col min="44" max="44" width="38.28515625" style="68" bestFit="1" customWidth="1"/>
    <col min="45" max="45" width="15.28515625" style="68" bestFit="1" customWidth="1"/>
    <col min="46" max="46" width="9.5703125" style="68" bestFit="1" customWidth="1"/>
    <col min="47" max="47" width="23.42578125" style="68" bestFit="1" customWidth="1"/>
    <col min="48" max="48" width="17.28515625" style="68" bestFit="1" customWidth="1"/>
    <col min="49" max="49" width="15.5703125" style="68" bestFit="1" customWidth="1"/>
    <col min="50" max="50" width="14.28515625" style="68" bestFit="1" customWidth="1"/>
    <col min="51" max="51" width="9.42578125" style="68" bestFit="1" customWidth="1"/>
    <col min="52" max="52" width="11.5703125" style="68" bestFit="1" customWidth="1"/>
    <col min="53" max="53" width="15.5703125" style="68" bestFit="1" customWidth="1"/>
    <col min="54" max="54" width="19.85546875" style="68" customWidth="1"/>
    <col min="55" max="55" width="18.85546875" style="68" bestFit="1" customWidth="1"/>
    <col min="56" max="16384" width="9.140625" style="68"/>
  </cols>
  <sheetData>
    <row r="1" spans="1:28">
      <c r="A1" s="68" t="s">
        <v>0</v>
      </c>
      <c r="B1" s="68" t="s">
        <v>1</v>
      </c>
      <c r="C1" s="68" t="s">
        <v>2</v>
      </c>
      <c r="D1" s="68" t="s">
        <v>3</v>
      </c>
      <c r="E1" s="68" t="s">
        <v>4</v>
      </c>
      <c r="F1" s="68" t="s">
        <v>5</v>
      </c>
      <c r="G1" s="68" t="s">
        <v>6</v>
      </c>
      <c r="H1" s="68" t="s">
        <v>7</v>
      </c>
      <c r="I1" s="68" t="s">
        <v>8</v>
      </c>
      <c r="J1" s="68" t="s">
        <v>9</v>
      </c>
      <c r="K1" s="68" t="s">
        <v>10</v>
      </c>
      <c r="L1" s="68" t="s">
        <v>11</v>
      </c>
      <c r="M1" s="68" t="s">
        <v>12</v>
      </c>
      <c r="N1" s="68" t="s">
        <v>13</v>
      </c>
      <c r="O1" s="68" t="s">
        <v>14</v>
      </c>
      <c r="P1" s="68" t="s">
        <v>15</v>
      </c>
      <c r="Q1" s="68" t="s">
        <v>16</v>
      </c>
      <c r="R1" s="68" t="s">
        <v>17</v>
      </c>
      <c r="S1" s="68" t="s">
        <v>18</v>
      </c>
      <c r="T1" s="68" t="s">
        <v>19</v>
      </c>
      <c r="U1" s="68" t="s">
        <v>20</v>
      </c>
      <c r="V1" s="68" t="s">
        <v>21</v>
      </c>
      <c r="W1" s="68" t="s">
        <v>22</v>
      </c>
      <c r="X1" s="68" t="s">
        <v>23</v>
      </c>
      <c r="Y1" s="68" t="s">
        <v>24</v>
      </c>
      <c r="Z1" s="68" t="s">
        <v>25</v>
      </c>
      <c r="AA1" s="68" t="s">
        <v>26</v>
      </c>
      <c r="AB1" s="68" t="s">
        <v>27</v>
      </c>
    </row>
    <row r="2" spans="1:28" ht="45">
      <c r="A2" s="207" t="s">
        <v>28</v>
      </c>
      <c r="B2" s="428">
        <v>46280.674583333333</v>
      </c>
      <c r="C2" s="207" t="s">
        <v>552</v>
      </c>
      <c r="D2" s="207" t="s">
        <v>30</v>
      </c>
      <c r="E2" s="207" t="s">
        <v>31</v>
      </c>
      <c r="F2" s="21" t="s">
        <v>536</v>
      </c>
      <c r="G2" s="207" t="s">
        <v>32</v>
      </c>
      <c r="H2" s="429">
        <v>46282</v>
      </c>
      <c r="I2" s="21">
        <v>12951010</v>
      </c>
      <c r="J2" s="21"/>
      <c r="K2" s="207" t="s">
        <v>33</v>
      </c>
      <c r="L2" s="207"/>
      <c r="M2" s="207"/>
      <c r="N2" s="207" t="s">
        <v>34</v>
      </c>
      <c r="O2" s="207" t="s">
        <v>35</v>
      </c>
      <c r="P2" s="207">
        <v>68.040000000000006</v>
      </c>
      <c r="Q2" s="207">
        <v>68.040000000000006</v>
      </c>
      <c r="R2" s="207">
        <v>0</v>
      </c>
      <c r="S2" s="207">
        <v>8</v>
      </c>
      <c r="T2" s="207">
        <v>16</v>
      </c>
      <c r="U2" s="207">
        <v>13</v>
      </c>
      <c r="V2" s="207">
        <v>5010495327378</v>
      </c>
      <c r="W2" s="207">
        <v>4.2</v>
      </c>
      <c r="X2" s="207" t="s">
        <v>36</v>
      </c>
      <c r="Y2" s="207" t="s">
        <v>37</v>
      </c>
      <c r="Z2" s="207" t="s">
        <v>38</v>
      </c>
      <c r="AA2" s="207" t="s">
        <v>39</v>
      </c>
      <c r="AB2" s="207" t="s">
        <v>40</v>
      </c>
    </row>
    <row r="3" spans="1:28" ht="30">
      <c r="A3" s="207" t="s">
        <v>41</v>
      </c>
      <c r="B3" s="428">
        <v>46280.670960648145</v>
      </c>
      <c r="C3" s="207" t="s">
        <v>552</v>
      </c>
      <c r="D3" s="207" t="s">
        <v>42</v>
      </c>
      <c r="E3" s="207" t="s">
        <v>43</v>
      </c>
      <c r="F3" s="21" t="s">
        <v>537</v>
      </c>
      <c r="G3" s="207"/>
      <c r="H3" s="429">
        <v>46281</v>
      </c>
      <c r="I3" s="21">
        <v>509154989</v>
      </c>
      <c r="J3" s="21"/>
      <c r="K3" s="207"/>
      <c r="L3" s="207" t="s">
        <v>44</v>
      </c>
      <c r="M3" s="207"/>
      <c r="N3" s="207"/>
      <c r="O3" s="207" t="s">
        <v>44</v>
      </c>
      <c r="P3" s="207">
        <v>77.11</v>
      </c>
      <c r="Q3" s="207">
        <v>77.11</v>
      </c>
      <c r="R3" s="207">
        <v>0</v>
      </c>
      <c r="S3" s="207">
        <v>1</v>
      </c>
      <c r="T3" s="207"/>
      <c r="U3" s="207"/>
      <c r="V3" s="207">
        <v>5010481990568</v>
      </c>
      <c r="W3" s="207">
        <v>2.8</v>
      </c>
      <c r="X3" s="207"/>
      <c r="Y3" s="207"/>
      <c r="Z3" s="207"/>
      <c r="AA3" s="207"/>
      <c r="AB3" s="207" t="s">
        <v>45</v>
      </c>
    </row>
    <row r="4" spans="1:28" ht="45">
      <c r="A4" s="207" t="s">
        <v>46</v>
      </c>
      <c r="B4" s="428">
        <v>46280.677939814814</v>
      </c>
      <c r="C4" s="207" t="s">
        <v>552</v>
      </c>
      <c r="D4" s="207" t="s">
        <v>47</v>
      </c>
      <c r="E4" s="207" t="s">
        <v>48</v>
      </c>
      <c r="F4" s="21" t="s">
        <v>49</v>
      </c>
      <c r="G4" s="207"/>
      <c r="H4" s="429">
        <v>46282</v>
      </c>
      <c r="I4" s="21">
        <v>512344610</v>
      </c>
      <c r="J4" s="21"/>
      <c r="K4" s="207"/>
      <c r="L4" s="207"/>
      <c r="M4" s="207"/>
      <c r="N4" s="207"/>
      <c r="O4" s="207" t="s">
        <v>50</v>
      </c>
      <c r="P4" s="207">
        <v>71.67</v>
      </c>
      <c r="Q4" s="207">
        <v>71.67</v>
      </c>
      <c r="R4" s="207">
        <v>0</v>
      </c>
      <c r="S4" s="207">
        <v>1</v>
      </c>
      <c r="T4" s="207">
        <v>20</v>
      </c>
      <c r="U4" s="207">
        <v>17</v>
      </c>
      <c r="V4" s="207">
        <v>5010497397355</v>
      </c>
      <c r="W4" s="207">
        <v>2.4</v>
      </c>
      <c r="X4" s="207" t="s">
        <v>51</v>
      </c>
      <c r="Y4" s="207" t="s">
        <v>52</v>
      </c>
      <c r="Z4" s="207" t="s">
        <v>53</v>
      </c>
      <c r="AA4" s="207" t="s">
        <v>54</v>
      </c>
      <c r="AB4" s="207" t="s">
        <v>55</v>
      </c>
    </row>
    <row r="5" spans="1:28">
      <c r="A5" s="207" t="s">
        <v>56</v>
      </c>
      <c r="B5" s="428">
        <v>46280.679444444446</v>
      </c>
      <c r="C5" s="207" t="s">
        <v>552</v>
      </c>
      <c r="D5" s="207" t="s">
        <v>57</v>
      </c>
      <c r="E5" s="207" t="s">
        <v>48</v>
      </c>
      <c r="F5" s="21" t="s">
        <v>538</v>
      </c>
      <c r="G5" s="207"/>
      <c r="H5" s="429">
        <v>46285</v>
      </c>
      <c r="I5" s="21">
        <v>11851011</v>
      </c>
      <c r="J5" s="21"/>
      <c r="K5" s="207"/>
      <c r="L5" s="207"/>
      <c r="M5" s="207"/>
      <c r="N5" s="207"/>
      <c r="O5" s="207" t="s">
        <v>58</v>
      </c>
      <c r="P5" s="207">
        <v>97.2</v>
      </c>
      <c r="Q5" s="207">
        <v>97.2</v>
      </c>
      <c r="R5" s="207">
        <v>0</v>
      </c>
      <c r="S5" s="207">
        <v>1</v>
      </c>
      <c r="T5" s="207">
        <v>22</v>
      </c>
      <c r="U5" s="207">
        <v>5</v>
      </c>
      <c r="V5" s="207">
        <v>5010496442595</v>
      </c>
      <c r="W5" s="207"/>
      <c r="X5" s="207"/>
      <c r="Y5" s="207" t="s">
        <v>59</v>
      </c>
      <c r="Z5" s="207" t="s">
        <v>60</v>
      </c>
      <c r="AA5" s="207"/>
      <c r="AB5" s="207" t="s">
        <v>61</v>
      </c>
    </row>
    <row r="6" spans="1:28" ht="30">
      <c r="A6" s="207" t="s">
        <v>62</v>
      </c>
      <c r="B6" s="428">
        <v>46280.679988425924</v>
      </c>
      <c r="C6" s="207" t="s">
        <v>552</v>
      </c>
      <c r="D6" s="207" t="s">
        <v>63</v>
      </c>
      <c r="E6" s="207"/>
      <c r="F6" s="21" t="s">
        <v>539</v>
      </c>
      <c r="G6" s="207" t="s">
        <v>64</v>
      </c>
      <c r="H6" s="429">
        <v>46283</v>
      </c>
      <c r="I6" s="21">
        <v>512587344</v>
      </c>
      <c r="J6" s="21"/>
      <c r="K6" s="207" t="s">
        <v>65</v>
      </c>
      <c r="L6" s="207"/>
      <c r="M6" s="207"/>
      <c r="N6" s="207"/>
      <c r="O6" s="207" t="s">
        <v>66</v>
      </c>
      <c r="P6" s="207">
        <v>83.3</v>
      </c>
      <c r="Q6" s="207">
        <v>83.3</v>
      </c>
      <c r="R6" s="207">
        <v>0</v>
      </c>
      <c r="S6" s="207">
        <v>2</v>
      </c>
      <c r="T6" s="207">
        <v>18</v>
      </c>
      <c r="U6" s="207">
        <v>5</v>
      </c>
      <c r="V6" s="207">
        <v>5010497208795</v>
      </c>
      <c r="W6" s="207">
        <v>2.1</v>
      </c>
      <c r="X6" s="207"/>
      <c r="Y6" s="207" t="s">
        <v>67</v>
      </c>
      <c r="Z6" s="207"/>
      <c r="AA6" s="207" t="s">
        <v>68</v>
      </c>
      <c r="AB6" s="207" t="s">
        <v>69</v>
      </c>
    </row>
    <row r="7" spans="1:28" ht="75">
      <c r="A7" s="207" t="s">
        <v>74</v>
      </c>
      <c r="B7" s="428">
        <v>46281.065081018518</v>
      </c>
      <c r="C7" s="207" t="s">
        <v>29</v>
      </c>
      <c r="D7" s="207" t="s">
        <v>75</v>
      </c>
      <c r="E7" s="207" t="s">
        <v>31</v>
      </c>
      <c r="F7" s="21" t="s">
        <v>540</v>
      </c>
      <c r="G7" s="207" t="s">
        <v>76</v>
      </c>
      <c r="H7" s="429">
        <v>46290</v>
      </c>
      <c r="I7" s="21">
        <v>508681663</v>
      </c>
      <c r="J7" s="21"/>
      <c r="K7" s="207"/>
      <c r="L7" s="207"/>
      <c r="M7" s="207"/>
      <c r="N7" s="207"/>
      <c r="O7" s="207" t="s">
        <v>77</v>
      </c>
      <c r="P7" s="207">
        <v>126.2</v>
      </c>
      <c r="Q7" s="207">
        <v>126.2</v>
      </c>
      <c r="R7" s="207">
        <v>0</v>
      </c>
      <c r="S7" s="207">
        <v>9</v>
      </c>
      <c r="T7" s="207">
        <v>19</v>
      </c>
      <c r="U7" s="207">
        <v>12</v>
      </c>
      <c r="V7" s="207">
        <v>5010495282924</v>
      </c>
      <c r="W7" s="207">
        <v>4.8</v>
      </c>
      <c r="X7" s="207" t="s">
        <v>78</v>
      </c>
      <c r="Y7" s="207" t="s">
        <v>79</v>
      </c>
      <c r="Z7" s="207" t="s">
        <v>73</v>
      </c>
      <c r="AA7" s="207" t="s">
        <v>80</v>
      </c>
      <c r="AB7" s="207" t="s">
        <v>81</v>
      </c>
    </row>
    <row r="8" spans="1:28" ht="90">
      <c r="A8" s="207" t="s">
        <v>82</v>
      </c>
      <c r="B8" s="428">
        <v>46280.684999999998</v>
      </c>
      <c r="C8" s="207" t="s">
        <v>552</v>
      </c>
      <c r="D8" s="207" t="s">
        <v>83</v>
      </c>
      <c r="E8" s="207" t="s">
        <v>31</v>
      </c>
      <c r="F8" s="21" t="s">
        <v>84</v>
      </c>
      <c r="G8" s="207" t="s">
        <v>64</v>
      </c>
      <c r="H8" s="429">
        <v>46281</v>
      </c>
      <c r="I8" s="21">
        <v>13732495</v>
      </c>
      <c r="J8" s="21" t="s">
        <v>85</v>
      </c>
      <c r="K8" s="207"/>
      <c r="L8" s="207" t="s">
        <v>86</v>
      </c>
      <c r="M8" s="207"/>
      <c r="N8" s="207" t="s">
        <v>87</v>
      </c>
      <c r="O8" s="207" t="s">
        <v>88</v>
      </c>
      <c r="P8" s="207">
        <v>77.11</v>
      </c>
      <c r="Q8" s="207">
        <v>77.11</v>
      </c>
      <c r="R8" s="207">
        <v>0</v>
      </c>
      <c r="S8" s="207">
        <v>18</v>
      </c>
      <c r="T8" s="207">
        <v>20</v>
      </c>
      <c r="U8" s="207">
        <v>8</v>
      </c>
      <c r="V8" s="207">
        <v>5010492825608</v>
      </c>
      <c r="W8" s="207">
        <v>12.4</v>
      </c>
      <c r="X8" s="207" t="s">
        <v>89</v>
      </c>
      <c r="Y8" s="207" t="s">
        <v>90</v>
      </c>
      <c r="Z8" s="207" t="s">
        <v>73</v>
      </c>
      <c r="AA8" s="207" t="s">
        <v>91</v>
      </c>
      <c r="AB8" s="207" t="s">
        <v>92</v>
      </c>
    </row>
    <row r="9" spans="1:28" ht="90">
      <c r="A9" s="207" t="s">
        <v>93</v>
      </c>
      <c r="B9" s="428">
        <v>46281.065659722219</v>
      </c>
      <c r="C9" s="207" t="s">
        <v>29</v>
      </c>
      <c r="D9" s="207" t="s">
        <v>94</v>
      </c>
      <c r="E9" s="207" t="s">
        <v>31</v>
      </c>
      <c r="F9" s="21" t="s">
        <v>541</v>
      </c>
      <c r="G9" s="207" t="s">
        <v>32</v>
      </c>
      <c r="H9" s="429">
        <v>46283</v>
      </c>
      <c r="I9" s="21">
        <v>502271792</v>
      </c>
      <c r="J9" s="21" t="s">
        <v>95</v>
      </c>
      <c r="K9" s="207"/>
      <c r="L9" s="207" t="s">
        <v>96</v>
      </c>
      <c r="M9" s="207" t="s">
        <v>97</v>
      </c>
      <c r="N9" s="207"/>
      <c r="O9" s="207" t="s">
        <v>98</v>
      </c>
      <c r="P9" s="207">
        <v>65.77</v>
      </c>
      <c r="Q9" s="207">
        <v>65.77</v>
      </c>
      <c r="R9" s="207">
        <v>0</v>
      </c>
      <c r="S9" s="207">
        <v>18</v>
      </c>
      <c r="T9" s="207">
        <v>19</v>
      </c>
      <c r="U9" s="207">
        <v>19</v>
      </c>
      <c r="V9" s="207">
        <v>5010492700837</v>
      </c>
      <c r="W9" s="207">
        <v>9.3000000000000007</v>
      </c>
      <c r="X9" s="207" t="s">
        <v>72</v>
      </c>
      <c r="Y9" s="207" t="s">
        <v>99</v>
      </c>
      <c r="Z9" s="207" t="s">
        <v>100</v>
      </c>
      <c r="AA9" s="207" t="s">
        <v>101</v>
      </c>
      <c r="AB9" s="207" t="s">
        <v>102</v>
      </c>
    </row>
    <row r="10" spans="1:28" ht="150">
      <c r="A10" s="207" t="s">
        <v>103</v>
      </c>
      <c r="B10" s="428">
        <v>46280.129710648151</v>
      </c>
      <c r="C10" s="207" t="s">
        <v>29</v>
      </c>
      <c r="D10" s="207" t="s">
        <v>104</v>
      </c>
      <c r="E10" s="207" t="s">
        <v>48</v>
      </c>
      <c r="F10" s="21" t="s">
        <v>105</v>
      </c>
      <c r="G10" s="207" t="s">
        <v>76</v>
      </c>
      <c r="H10" s="429">
        <v>46285.833333333336</v>
      </c>
      <c r="I10" s="21">
        <v>512407341</v>
      </c>
      <c r="J10" s="21" t="s">
        <v>106</v>
      </c>
      <c r="K10" s="207"/>
      <c r="L10" s="207" t="s">
        <v>107</v>
      </c>
      <c r="M10" s="207"/>
      <c r="N10" s="207"/>
      <c r="O10" s="207" t="s">
        <v>108</v>
      </c>
      <c r="P10" s="207">
        <v>129.6</v>
      </c>
      <c r="Q10" s="207">
        <v>129.6</v>
      </c>
      <c r="R10" s="207">
        <v>0</v>
      </c>
      <c r="S10" s="207">
        <v>45</v>
      </c>
      <c r="T10" s="207">
        <v>17</v>
      </c>
      <c r="U10" s="207">
        <v>22</v>
      </c>
      <c r="V10" s="207">
        <v>5010483853150</v>
      </c>
      <c r="W10" s="207">
        <v>22.4</v>
      </c>
      <c r="X10" s="207" t="s">
        <v>109</v>
      </c>
      <c r="Y10" s="207" t="s">
        <v>67</v>
      </c>
      <c r="Z10" s="207" t="s">
        <v>110</v>
      </c>
      <c r="AA10" s="207" t="s">
        <v>111</v>
      </c>
      <c r="AB10" s="207" t="s">
        <v>112</v>
      </c>
    </row>
    <row r="11" spans="1:28" ht="105">
      <c r="A11" s="207" t="s">
        <v>113</v>
      </c>
      <c r="B11" s="428">
        <v>46280.272106481483</v>
      </c>
      <c r="C11" s="207" t="s">
        <v>552</v>
      </c>
      <c r="D11" s="207" t="s">
        <v>114</v>
      </c>
      <c r="E11" s="207" t="s">
        <v>48</v>
      </c>
      <c r="F11" s="21" t="s">
        <v>115</v>
      </c>
      <c r="G11" s="207" t="s">
        <v>32</v>
      </c>
      <c r="H11" s="429">
        <v>46281</v>
      </c>
      <c r="I11" s="21">
        <v>14123506</v>
      </c>
      <c r="J11" s="21"/>
      <c r="K11" s="207"/>
      <c r="L11" s="207"/>
      <c r="M11" s="207"/>
      <c r="N11" s="207"/>
      <c r="O11" s="207" t="s">
        <v>116</v>
      </c>
      <c r="P11" s="207">
        <v>90.72</v>
      </c>
      <c r="Q11" s="207">
        <v>90.72</v>
      </c>
      <c r="R11" s="207">
        <v>0</v>
      </c>
      <c r="S11" s="207">
        <v>7</v>
      </c>
      <c r="T11" s="207">
        <v>20</v>
      </c>
      <c r="U11" s="207">
        <v>11</v>
      </c>
      <c r="V11" s="207">
        <v>5010495802717</v>
      </c>
      <c r="W11" s="207">
        <v>4.3</v>
      </c>
      <c r="X11" s="207" t="s">
        <v>117</v>
      </c>
      <c r="Y11" s="207" t="s">
        <v>99</v>
      </c>
      <c r="Z11" s="207" t="s">
        <v>118</v>
      </c>
      <c r="AA11" s="207" t="s">
        <v>119</v>
      </c>
      <c r="AB11" s="207" t="s">
        <v>120</v>
      </c>
    </row>
    <row r="12" spans="1:28" ht="90">
      <c r="A12" s="207" t="s">
        <v>123</v>
      </c>
      <c r="B12" s="428">
        <v>46280.272800925923</v>
      </c>
      <c r="C12" s="207" t="s">
        <v>552</v>
      </c>
      <c r="D12" s="207" t="s">
        <v>124</v>
      </c>
      <c r="E12" s="207" t="s">
        <v>48</v>
      </c>
      <c r="F12" s="21" t="s">
        <v>125</v>
      </c>
      <c r="G12" s="207" t="s">
        <v>32</v>
      </c>
      <c r="H12" s="429">
        <v>46288.833333333336</v>
      </c>
      <c r="I12" s="21">
        <v>36874834</v>
      </c>
      <c r="J12" s="21"/>
      <c r="K12" s="207"/>
      <c r="L12" s="207"/>
      <c r="M12" s="207"/>
      <c r="N12" s="207" t="s">
        <v>126</v>
      </c>
      <c r="O12" s="207" t="s">
        <v>127</v>
      </c>
      <c r="P12" s="207">
        <v>78.3</v>
      </c>
      <c r="Q12" s="207">
        <v>78.3</v>
      </c>
      <c r="R12" s="207">
        <v>0</v>
      </c>
      <c r="S12" s="207">
        <v>10</v>
      </c>
      <c r="T12" s="207">
        <v>21</v>
      </c>
      <c r="U12" s="207">
        <v>9</v>
      </c>
      <c r="V12" s="207">
        <v>5010495052681</v>
      </c>
      <c r="W12" s="207">
        <v>2.1</v>
      </c>
      <c r="X12" s="207" t="s">
        <v>89</v>
      </c>
      <c r="Y12" s="207" t="s">
        <v>67</v>
      </c>
      <c r="Z12" s="207" t="s">
        <v>118</v>
      </c>
      <c r="AA12" s="207" t="s">
        <v>128</v>
      </c>
      <c r="AB12" s="207" t="s">
        <v>129</v>
      </c>
    </row>
    <row r="13" spans="1:28" ht="120">
      <c r="A13" s="207" t="s">
        <v>130</v>
      </c>
      <c r="B13" s="428">
        <v>46281.064247685186</v>
      </c>
      <c r="C13" s="207" t="s">
        <v>29</v>
      </c>
      <c r="D13" s="207" t="s">
        <v>131</v>
      </c>
      <c r="E13" s="207" t="s">
        <v>31</v>
      </c>
      <c r="F13" s="21" t="s">
        <v>542</v>
      </c>
      <c r="G13" s="207" t="s">
        <v>132</v>
      </c>
      <c r="H13" s="429">
        <v>46283</v>
      </c>
      <c r="I13" s="21">
        <v>506850494</v>
      </c>
      <c r="J13" s="21"/>
      <c r="K13" s="207"/>
      <c r="L13" s="207" t="s">
        <v>133</v>
      </c>
      <c r="M13" s="207"/>
      <c r="N13" s="207"/>
      <c r="O13" s="207" t="s">
        <v>98</v>
      </c>
      <c r="P13" s="207">
        <v>103.9</v>
      </c>
      <c r="Q13" s="207">
        <v>103.9</v>
      </c>
      <c r="R13" s="207">
        <v>0</v>
      </c>
      <c r="S13" s="207">
        <v>41</v>
      </c>
      <c r="T13" s="207">
        <v>15</v>
      </c>
      <c r="U13" s="207">
        <v>10</v>
      </c>
      <c r="V13" s="207">
        <v>5010485135833</v>
      </c>
      <c r="W13" s="207">
        <v>9.3000000000000007</v>
      </c>
      <c r="X13" s="207" t="s">
        <v>134</v>
      </c>
      <c r="Y13" s="207" t="s">
        <v>135</v>
      </c>
      <c r="Z13" s="207" t="s">
        <v>136</v>
      </c>
      <c r="AA13" s="207" t="s">
        <v>137</v>
      </c>
      <c r="AB13" s="207" t="s">
        <v>81</v>
      </c>
    </row>
    <row r="14" spans="1:28" ht="105">
      <c r="A14" s="207" t="s">
        <v>138</v>
      </c>
      <c r="B14" s="428">
        <v>46280.273495370369</v>
      </c>
      <c r="C14" s="207" t="s">
        <v>552</v>
      </c>
      <c r="D14" s="207" t="s">
        <v>139</v>
      </c>
      <c r="E14" s="207" t="s">
        <v>48</v>
      </c>
      <c r="F14" s="21" t="s">
        <v>140</v>
      </c>
      <c r="G14" s="207" t="s">
        <v>132</v>
      </c>
      <c r="H14" s="429">
        <v>46281</v>
      </c>
      <c r="I14" s="21">
        <v>14776259</v>
      </c>
      <c r="J14" s="21"/>
      <c r="K14" s="207"/>
      <c r="L14" s="207"/>
      <c r="M14" s="207"/>
      <c r="N14" s="207" t="s">
        <v>141</v>
      </c>
      <c r="O14" s="207" t="s">
        <v>142</v>
      </c>
      <c r="P14" s="207">
        <v>63.5</v>
      </c>
      <c r="Q14" s="207">
        <v>63.5</v>
      </c>
      <c r="R14" s="207">
        <v>0</v>
      </c>
      <c r="S14" s="207">
        <v>7</v>
      </c>
      <c r="T14" s="207">
        <v>16</v>
      </c>
      <c r="U14" s="207">
        <v>17</v>
      </c>
      <c r="V14" s="207">
        <v>5010495486832</v>
      </c>
      <c r="W14" s="207">
        <v>4.0999999999999996</v>
      </c>
      <c r="X14" s="207" t="s">
        <v>143</v>
      </c>
      <c r="Y14" s="207" t="s">
        <v>144</v>
      </c>
      <c r="Z14" s="207" t="s">
        <v>145</v>
      </c>
      <c r="AA14" s="207" t="s">
        <v>146</v>
      </c>
      <c r="AB14" s="207" t="s">
        <v>55</v>
      </c>
    </row>
    <row r="15" spans="1:28" ht="45">
      <c r="A15" s="207" t="s">
        <v>147</v>
      </c>
      <c r="B15" s="428">
        <v>46280.703136574077</v>
      </c>
      <c r="C15" s="207" t="s">
        <v>552</v>
      </c>
      <c r="D15" s="207" t="s">
        <v>148</v>
      </c>
      <c r="E15" s="207" t="s">
        <v>48</v>
      </c>
      <c r="F15" s="21" t="s">
        <v>149</v>
      </c>
      <c r="G15" s="207"/>
      <c r="H15" s="429">
        <v>46280</v>
      </c>
      <c r="I15" s="21">
        <v>511719101</v>
      </c>
      <c r="J15" s="21"/>
      <c r="K15" s="207"/>
      <c r="L15" s="207"/>
      <c r="M15" s="207"/>
      <c r="N15" s="207"/>
      <c r="O15" s="207" t="s">
        <v>150</v>
      </c>
      <c r="P15" s="207"/>
      <c r="Q15" s="207"/>
      <c r="R15" s="207">
        <v>0</v>
      </c>
      <c r="S15" s="207">
        <v>15</v>
      </c>
      <c r="T15" s="207"/>
      <c r="U15" s="207"/>
      <c r="V15" s="207"/>
      <c r="W15" s="207"/>
      <c r="X15" s="207"/>
      <c r="Y15" s="207"/>
      <c r="Z15" s="207"/>
      <c r="AA15" s="207"/>
      <c r="AB15" s="207"/>
    </row>
    <row r="16" spans="1:28" ht="135">
      <c r="A16" s="207" t="s">
        <v>151</v>
      </c>
      <c r="B16" s="428">
        <v>46280.274189814816</v>
      </c>
      <c r="C16" s="207" t="s">
        <v>552</v>
      </c>
      <c r="D16" s="207" t="s">
        <v>152</v>
      </c>
      <c r="E16" s="207" t="s">
        <v>31</v>
      </c>
      <c r="F16" s="21" t="s">
        <v>153</v>
      </c>
      <c r="G16" s="207" t="s">
        <v>32</v>
      </c>
      <c r="H16" s="429">
        <v>46283</v>
      </c>
      <c r="I16" s="21">
        <v>42444008</v>
      </c>
      <c r="J16" s="21" t="s">
        <v>154</v>
      </c>
      <c r="K16" s="207" t="s">
        <v>155</v>
      </c>
      <c r="L16" s="207"/>
      <c r="M16" s="207"/>
      <c r="N16" s="207"/>
      <c r="O16" s="207" t="s">
        <v>98</v>
      </c>
      <c r="P16" s="207">
        <v>64.86</v>
      </c>
      <c r="Q16" s="207">
        <v>64.86</v>
      </c>
      <c r="R16" s="207">
        <v>0</v>
      </c>
      <c r="S16" s="207">
        <v>23</v>
      </c>
      <c r="T16" s="207">
        <v>21</v>
      </c>
      <c r="U16" s="207">
        <v>11</v>
      </c>
      <c r="V16" s="207">
        <v>5010490717349</v>
      </c>
      <c r="W16" s="207">
        <v>9.3000000000000007</v>
      </c>
      <c r="X16" s="207" t="s">
        <v>156</v>
      </c>
      <c r="Y16" s="207" t="s">
        <v>157</v>
      </c>
      <c r="Z16" s="207" t="s">
        <v>158</v>
      </c>
      <c r="AA16" s="207" t="s">
        <v>159</v>
      </c>
      <c r="AB16" s="207" t="s">
        <v>160</v>
      </c>
    </row>
    <row r="17" spans="1:28" ht="45">
      <c r="A17" s="207" t="s">
        <v>161</v>
      </c>
      <c r="B17" s="428">
        <v>46280.274884259263</v>
      </c>
      <c r="C17" s="207" t="s">
        <v>552</v>
      </c>
      <c r="D17" s="207" t="s">
        <v>162</v>
      </c>
      <c r="E17" s="207" t="s">
        <v>48</v>
      </c>
      <c r="F17" s="21" t="s">
        <v>163</v>
      </c>
      <c r="G17" s="207" t="s">
        <v>64</v>
      </c>
      <c r="H17" s="429">
        <v>46281</v>
      </c>
      <c r="I17" s="21">
        <v>11719063</v>
      </c>
      <c r="J17" s="21"/>
      <c r="K17" s="207" t="s">
        <v>164</v>
      </c>
      <c r="L17" s="207"/>
      <c r="M17" s="207"/>
      <c r="N17" s="207"/>
      <c r="O17" s="207" t="s">
        <v>165</v>
      </c>
      <c r="P17" s="207">
        <v>70.760000000000005</v>
      </c>
      <c r="Q17" s="207">
        <v>70.760000000000005</v>
      </c>
      <c r="R17" s="207">
        <v>0</v>
      </c>
      <c r="S17" s="207">
        <v>5</v>
      </c>
      <c r="T17" s="207">
        <v>21</v>
      </c>
      <c r="U17" s="207">
        <v>3</v>
      </c>
      <c r="V17" s="207">
        <v>5010496698348</v>
      </c>
      <c r="W17" s="207">
        <v>2.1</v>
      </c>
      <c r="X17" s="207" t="s">
        <v>156</v>
      </c>
      <c r="Y17" s="207" t="s">
        <v>121</v>
      </c>
      <c r="Z17" s="207" t="s">
        <v>73</v>
      </c>
      <c r="AA17" s="207" t="s">
        <v>166</v>
      </c>
      <c r="AB17" s="207" t="s">
        <v>167</v>
      </c>
    </row>
    <row r="18" spans="1:28" ht="30">
      <c r="A18" s="207" t="s">
        <v>169</v>
      </c>
      <c r="B18" s="428">
        <v>46280.275578703702</v>
      </c>
      <c r="C18" s="207" t="s">
        <v>552</v>
      </c>
      <c r="D18" s="207" t="s">
        <v>170</v>
      </c>
      <c r="E18" s="207" t="s">
        <v>48</v>
      </c>
      <c r="F18" s="21" t="s">
        <v>171</v>
      </c>
      <c r="G18" s="207" t="s">
        <v>32</v>
      </c>
      <c r="H18" s="429">
        <v>46282</v>
      </c>
      <c r="I18" s="21">
        <v>32570424</v>
      </c>
      <c r="J18" s="21"/>
      <c r="K18" s="207"/>
      <c r="L18" s="207"/>
      <c r="M18" s="207"/>
      <c r="N18" s="207"/>
      <c r="O18" s="207" t="s">
        <v>172</v>
      </c>
      <c r="P18" s="207">
        <v>45.36</v>
      </c>
      <c r="Q18" s="207">
        <v>45.36</v>
      </c>
      <c r="R18" s="207">
        <v>0</v>
      </c>
      <c r="S18" s="207">
        <v>3</v>
      </c>
      <c r="T18" s="207">
        <v>18</v>
      </c>
      <c r="U18" s="207">
        <v>13</v>
      </c>
      <c r="V18" s="207">
        <v>5010497134245</v>
      </c>
      <c r="W18" s="207">
        <v>2.4</v>
      </c>
      <c r="X18" s="207" t="s">
        <v>78</v>
      </c>
      <c r="Y18" s="207" t="s">
        <v>173</v>
      </c>
      <c r="Z18" s="207" t="s">
        <v>145</v>
      </c>
      <c r="AA18" s="207" t="s">
        <v>119</v>
      </c>
      <c r="AB18" s="207" t="s">
        <v>81</v>
      </c>
    </row>
    <row r="19" spans="1:28" ht="60">
      <c r="A19" s="207" t="s">
        <v>174</v>
      </c>
      <c r="B19" s="428">
        <v>46280.134479166663</v>
      </c>
      <c r="C19" s="207" t="s">
        <v>29</v>
      </c>
      <c r="D19" s="207" t="s">
        <v>175</v>
      </c>
      <c r="E19" s="207" t="s">
        <v>48</v>
      </c>
      <c r="F19" s="21" t="s">
        <v>176</v>
      </c>
      <c r="G19" s="207" t="s">
        <v>32</v>
      </c>
      <c r="H19" s="429">
        <v>46282</v>
      </c>
      <c r="I19" s="21">
        <v>511042441</v>
      </c>
      <c r="J19" s="21"/>
      <c r="K19" s="207"/>
      <c r="L19" s="207"/>
      <c r="M19" s="207" t="s">
        <v>97</v>
      </c>
      <c r="N19" s="207"/>
      <c r="O19" s="207" t="s">
        <v>66</v>
      </c>
      <c r="P19" s="207">
        <v>110</v>
      </c>
      <c r="Q19" s="207">
        <v>110</v>
      </c>
      <c r="R19" s="207">
        <v>0</v>
      </c>
      <c r="S19" s="207">
        <v>2</v>
      </c>
      <c r="T19" s="207">
        <v>19</v>
      </c>
      <c r="U19" s="207">
        <v>13</v>
      </c>
      <c r="V19" s="207">
        <v>5010497194149</v>
      </c>
      <c r="W19" s="207">
        <v>2.4</v>
      </c>
      <c r="X19" s="207" t="s">
        <v>51</v>
      </c>
      <c r="Y19" s="207" t="s">
        <v>177</v>
      </c>
      <c r="Z19" s="207" t="s">
        <v>73</v>
      </c>
      <c r="AA19" s="207" t="s">
        <v>178</v>
      </c>
      <c r="AB19" s="207" t="s">
        <v>179</v>
      </c>
    </row>
    <row r="20" spans="1:28" ht="90">
      <c r="A20" s="207" t="s">
        <v>180</v>
      </c>
      <c r="B20" s="428">
        <v>46280.276967592596</v>
      </c>
      <c r="C20" s="207" t="s">
        <v>552</v>
      </c>
      <c r="D20" s="207" t="s">
        <v>181</v>
      </c>
      <c r="E20" s="207" t="s">
        <v>31</v>
      </c>
      <c r="F20" s="21" t="s">
        <v>182</v>
      </c>
      <c r="G20" s="207" t="s">
        <v>32</v>
      </c>
      <c r="H20" s="429">
        <v>46281</v>
      </c>
      <c r="I20" s="21">
        <v>36563806</v>
      </c>
      <c r="J20" s="21"/>
      <c r="K20" s="207"/>
      <c r="L20" s="207" t="s">
        <v>183</v>
      </c>
      <c r="M20" s="207"/>
      <c r="N20" s="207" t="s">
        <v>184</v>
      </c>
      <c r="O20" s="207" t="s">
        <v>77</v>
      </c>
      <c r="P20" s="207">
        <v>97</v>
      </c>
      <c r="Q20" s="207">
        <v>97</v>
      </c>
      <c r="R20" s="207">
        <v>0</v>
      </c>
      <c r="S20" s="207">
        <v>13</v>
      </c>
      <c r="T20" s="207">
        <v>20</v>
      </c>
      <c r="U20" s="207">
        <v>8</v>
      </c>
      <c r="V20" s="207">
        <v>5010494335958</v>
      </c>
      <c r="W20" s="207">
        <v>4.8</v>
      </c>
      <c r="X20" s="207" t="s">
        <v>185</v>
      </c>
      <c r="Y20" s="207" t="s">
        <v>177</v>
      </c>
      <c r="Z20" s="207" t="s">
        <v>118</v>
      </c>
      <c r="AA20" s="207" t="s">
        <v>186</v>
      </c>
      <c r="AB20" s="207" t="s">
        <v>187</v>
      </c>
    </row>
    <row r="21" spans="1:28" ht="75">
      <c r="A21" s="207" t="s">
        <v>188</v>
      </c>
      <c r="B21" s="428">
        <v>46280.114641203705</v>
      </c>
      <c r="C21" s="207" t="s">
        <v>29</v>
      </c>
      <c r="D21" s="207" t="s">
        <v>189</v>
      </c>
      <c r="E21" s="207" t="s">
        <v>31</v>
      </c>
      <c r="F21" s="21" t="s">
        <v>190</v>
      </c>
      <c r="G21" s="207" t="s">
        <v>64</v>
      </c>
      <c r="H21" s="429">
        <v>46281.833333333336</v>
      </c>
      <c r="I21" s="21">
        <v>15068801</v>
      </c>
      <c r="J21" s="21"/>
      <c r="K21" s="207" t="s">
        <v>191</v>
      </c>
      <c r="L21" s="207" t="s">
        <v>192</v>
      </c>
      <c r="M21" s="207"/>
      <c r="N21" s="207"/>
      <c r="O21" s="207" t="s">
        <v>193</v>
      </c>
      <c r="P21" s="207">
        <v>67.599999999999994</v>
      </c>
      <c r="Q21" s="207">
        <v>67.599999999999994</v>
      </c>
      <c r="R21" s="207">
        <v>0</v>
      </c>
      <c r="S21" s="207">
        <v>18</v>
      </c>
      <c r="T21" s="207">
        <v>21</v>
      </c>
      <c r="U21" s="207">
        <v>8</v>
      </c>
      <c r="V21" s="207">
        <v>5010492361760</v>
      </c>
      <c r="W21" s="207">
        <v>6.9</v>
      </c>
      <c r="X21" s="207" t="s">
        <v>185</v>
      </c>
      <c r="Y21" s="207" t="s">
        <v>194</v>
      </c>
      <c r="Z21" s="207" t="s">
        <v>195</v>
      </c>
      <c r="AA21" s="207" t="s">
        <v>196</v>
      </c>
      <c r="AB21" s="207" t="s">
        <v>197</v>
      </c>
    </row>
    <row r="22" spans="1:28" ht="90">
      <c r="A22" s="207" t="s">
        <v>198</v>
      </c>
      <c r="B22" s="428">
        <v>46280.116099537037</v>
      </c>
      <c r="C22" s="207" t="s">
        <v>29</v>
      </c>
      <c r="D22" s="207" t="s">
        <v>199</v>
      </c>
      <c r="E22" s="207" t="s">
        <v>48</v>
      </c>
      <c r="F22" s="21" t="s">
        <v>200</v>
      </c>
      <c r="G22" s="207" t="s">
        <v>64</v>
      </c>
      <c r="H22" s="429">
        <v>46281.833333333336</v>
      </c>
      <c r="I22" s="21">
        <v>13669111</v>
      </c>
      <c r="J22" s="21"/>
      <c r="K22" s="207" t="s">
        <v>201</v>
      </c>
      <c r="L22" s="207"/>
      <c r="M22" s="207" t="s">
        <v>97</v>
      </c>
      <c r="N22" s="207"/>
      <c r="O22" s="207" t="s">
        <v>202</v>
      </c>
      <c r="P22" s="207">
        <v>113.85</v>
      </c>
      <c r="Q22" s="207">
        <v>113.85</v>
      </c>
      <c r="R22" s="207">
        <v>0</v>
      </c>
      <c r="S22" s="207">
        <v>4</v>
      </c>
      <c r="T22" s="207">
        <v>19</v>
      </c>
      <c r="U22" s="207">
        <v>22</v>
      </c>
      <c r="V22" s="207">
        <v>5010496622640</v>
      </c>
      <c r="W22" s="207">
        <v>3.8</v>
      </c>
      <c r="X22" s="207" t="s">
        <v>203</v>
      </c>
      <c r="Y22" s="207" t="s">
        <v>37</v>
      </c>
      <c r="Z22" s="207" t="s">
        <v>204</v>
      </c>
      <c r="AA22" s="207" t="s">
        <v>122</v>
      </c>
      <c r="AB22" s="207" t="s">
        <v>112</v>
      </c>
    </row>
    <row r="23" spans="1:28" ht="45">
      <c r="A23" s="207" t="s">
        <v>205</v>
      </c>
      <c r="B23" s="428">
        <v>46280.277662037035</v>
      </c>
      <c r="C23" s="207" t="s">
        <v>552</v>
      </c>
      <c r="D23" s="207" t="s">
        <v>206</v>
      </c>
      <c r="E23" s="207" t="s">
        <v>31</v>
      </c>
      <c r="F23" s="21" t="s">
        <v>207</v>
      </c>
      <c r="G23" s="207" t="s">
        <v>64</v>
      </c>
      <c r="H23" s="429">
        <v>46280</v>
      </c>
      <c r="I23" s="21">
        <v>12560588</v>
      </c>
      <c r="J23" s="21"/>
      <c r="K23" s="207"/>
      <c r="L23" s="207"/>
      <c r="M23" s="207"/>
      <c r="N23" s="207"/>
      <c r="O23" s="207" t="s">
        <v>208</v>
      </c>
      <c r="P23" s="207">
        <v>106.6</v>
      </c>
      <c r="Q23" s="207">
        <v>106.6</v>
      </c>
      <c r="R23" s="207">
        <v>0</v>
      </c>
      <c r="S23" s="207">
        <v>2</v>
      </c>
      <c r="T23" s="207">
        <v>21</v>
      </c>
      <c r="U23" s="207">
        <v>5</v>
      </c>
      <c r="V23" s="207">
        <v>5010497277862</v>
      </c>
      <c r="W23" s="207">
        <v>2.1</v>
      </c>
      <c r="X23" s="207" t="s">
        <v>209</v>
      </c>
      <c r="Y23" s="207" t="s">
        <v>210</v>
      </c>
      <c r="Z23" s="207" t="s">
        <v>60</v>
      </c>
      <c r="AA23" s="207" t="s">
        <v>211</v>
      </c>
      <c r="AB23" s="207" t="s">
        <v>55</v>
      </c>
    </row>
    <row r="24" spans="1:28" ht="210">
      <c r="A24" s="207" t="s">
        <v>212</v>
      </c>
      <c r="B24" s="428">
        <v>46280.136550925927</v>
      </c>
      <c r="C24" s="207" t="s">
        <v>29</v>
      </c>
      <c r="D24" s="207" t="s">
        <v>213</v>
      </c>
      <c r="E24" s="207" t="s">
        <v>43</v>
      </c>
      <c r="F24" s="21" t="s">
        <v>214</v>
      </c>
      <c r="G24" s="207" t="s">
        <v>32</v>
      </c>
      <c r="H24" s="429">
        <v>46281</v>
      </c>
      <c r="I24" s="21">
        <v>21524149</v>
      </c>
      <c r="J24" s="21"/>
      <c r="K24" s="207"/>
      <c r="L24" s="207" t="s">
        <v>215</v>
      </c>
      <c r="M24" s="207"/>
      <c r="N24" s="207" t="s">
        <v>216</v>
      </c>
      <c r="O24" s="207" t="s">
        <v>217</v>
      </c>
      <c r="P24" s="207">
        <v>102.97</v>
      </c>
      <c r="Q24" s="207">
        <v>102.97</v>
      </c>
      <c r="R24" s="207">
        <v>0</v>
      </c>
      <c r="S24" s="207">
        <v>15</v>
      </c>
      <c r="T24" s="207">
        <v>18</v>
      </c>
      <c r="U24" s="207">
        <v>26</v>
      </c>
      <c r="V24" s="207">
        <v>5010489531539</v>
      </c>
      <c r="W24" s="207">
        <v>3.9</v>
      </c>
      <c r="X24" s="207" t="s">
        <v>156</v>
      </c>
      <c r="Y24" s="207" t="s">
        <v>99</v>
      </c>
      <c r="Z24" s="207" t="s">
        <v>218</v>
      </c>
      <c r="AA24" s="207" t="s">
        <v>137</v>
      </c>
      <c r="AB24" s="207" t="s">
        <v>81</v>
      </c>
    </row>
    <row r="25" spans="1:28">
      <c r="A25" s="207" t="s">
        <v>219</v>
      </c>
      <c r="B25" s="428">
        <v>46281.066886574074</v>
      </c>
      <c r="C25" s="207" t="s">
        <v>29</v>
      </c>
      <c r="D25" s="207" t="s">
        <v>543</v>
      </c>
      <c r="E25" s="207" t="s">
        <v>48</v>
      </c>
      <c r="F25" s="21" t="s">
        <v>544</v>
      </c>
      <c r="G25" s="207"/>
      <c r="H25" s="429">
        <v>46282</v>
      </c>
      <c r="I25" s="21">
        <v>12366840</v>
      </c>
      <c r="J25" s="21"/>
      <c r="K25" s="207"/>
      <c r="L25" s="207"/>
      <c r="M25" s="207"/>
      <c r="N25" s="207"/>
      <c r="O25" s="207" t="s">
        <v>150</v>
      </c>
      <c r="P25" s="207"/>
      <c r="Q25" s="207"/>
      <c r="R25" s="207">
        <v>0</v>
      </c>
      <c r="S25" s="207">
        <v>1</v>
      </c>
      <c r="T25" s="207"/>
      <c r="U25" s="207"/>
      <c r="V25" s="207"/>
      <c r="W25" s="207"/>
      <c r="X25" s="207"/>
      <c r="Y25" s="207"/>
      <c r="Z25" s="207"/>
      <c r="AA25" s="207"/>
      <c r="AB25" s="207"/>
    </row>
    <row r="26" spans="1:28" ht="30">
      <c r="A26" s="207" t="s">
        <v>222</v>
      </c>
      <c r="B26" s="428">
        <v>46281.068414351852</v>
      </c>
      <c r="C26" s="207" t="s">
        <v>29</v>
      </c>
      <c r="D26" s="207" t="s">
        <v>545</v>
      </c>
      <c r="E26" s="207" t="s">
        <v>31</v>
      </c>
      <c r="F26" s="21" t="s">
        <v>546</v>
      </c>
      <c r="G26" s="207"/>
      <c r="H26" s="429">
        <v>46283</v>
      </c>
      <c r="I26" s="21">
        <v>42115399</v>
      </c>
      <c r="J26" s="21"/>
      <c r="K26" s="207"/>
      <c r="L26" s="207"/>
      <c r="M26" s="207"/>
      <c r="N26" s="207"/>
      <c r="O26" s="207" t="s">
        <v>553</v>
      </c>
      <c r="P26" s="207"/>
      <c r="Q26" s="207"/>
      <c r="R26" s="207">
        <v>0</v>
      </c>
      <c r="S26" s="207">
        <v>1</v>
      </c>
      <c r="T26" s="207"/>
      <c r="U26" s="207"/>
      <c r="V26" s="207"/>
      <c r="W26" s="207"/>
      <c r="X26" s="207"/>
      <c r="Y26" s="207"/>
      <c r="Z26" s="207"/>
      <c r="AA26" s="207"/>
      <c r="AB26" s="207"/>
    </row>
    <row r="27" spans="1:28" ht="30">
      <c r="A27" s="207" t="s">
        <v>225</v>
      </c>
      <c r="B27" s="428">
        <v>46281.055150462962</v>
      </c>
      <c r="C27" s="207" t="s">
        <v>29</v>
      </c>
      <c r="D27" s="207" t="s">
        <v>547</v>
      </c>
      <c r="E27" s="207" t="s">
        <v>48</v>
      </c>
      <c r="F27" s="21" t="s">
        <v>548</v>
      </c>
      <c r="G27" s="207"/>
      <c r="H27" s="429">
        <v>46281</v>
      </c>
      <c r="I27" s="21">
        <v>6957750</v>
      </c>
      <c r="J27" s="21"/>
      <c r="K27" s="207"/>
      <c r="L27" s="207"/>
      <c r="M27" s="207"/>
      <c r="N27" s="207"/>
      <c r="O27" s="207" t="s">
        <v>554</v>
      </c>
      <c r="P27" s="207"/>
      <c r="Q27" s="207"/>
      <c r="R27" s="207">
        <v>0</v>
      </c>
      <c r="S27" s="207">
        <v>1</v>
      </c>
      <c r="T27" s="207"/>
      <c r="U27" s="207"/>
      <c r="V27" s="207"/>
      <c r="W27" s="207"/>
      <c r="X27" s="207"/>
      <c r="Y27" s="207"/>
      <c r="Z27" s="207"/>
      <c r="AA27" s="207"/>
      <c r="AB27" s="207"/>
    </row>
    <row r="28" spans="1:28" ht="135">
      <c r="A28" s="207" t="s">
        <v>226</v>
      </c>
      <c r="B28" s="428">
        <v>46281.047951388886</v>
      </c>
      <c r="C28" s="207" t="s">
        <v>29</v>
      </c>
      <c r="D28" s="207" t="s">
        <v>227</v>
      </c>
      <c r="E28" s="207" t="s">
        <v>43</v>
      </c>
      <c r="F28" s="21" t="s">
        <v>549</v>
      </c>
      <c r="G28" s="207" t="s">
        <v>132</v>
      </c>
      <c r="H28" s="429">
        <v>46283.833333333336</v>
      </c>
      <c r="I28" s="21">
        <v>12035750</v>
      </c>
      <c r="J28" s="21"/>
      <c r="K28" s="207"/>
      <c r="L28" s="207" t="s">
        <v>228</v>
      </c>
      <c r="M28" s="207"/>
      <c r="N28" s="207"/>
      <c r="O28" s="207" t="s">
        <v>229</v>
      </c>
      <c r="P28" s="207">
        <v>85.73</v>
      </c>
      <c r="Q28" s="207">
        <v>85.73</v>
      </c>
      <c r="R28" s="207">
        <v>0</v>
      </c>
      <c r="S28" s="207">
        <v>9</v>
      </c>
      <c r="T28" s="207">
        <v>20</v>
      </c>
      <c r="U28" s="207">
        <v>15</v>
      </c>
      <c r="V28" s="207">
        <v>5010495262509</v>
      </c>
      <c r="W28" s="207">
        <v>3.3</v>
      </c>
      <c r="X28" s="207" t="s">
        <v>143</v>
      </c>
      <c r="Y28" s="207" t="s">
        <v>99</v>
      </c>
      <c r="Z28" s="207" t="s">
        <v>73</v>
      </c>
      <c r="AA28" s="207" t="s">
        <v>224</v>
      </c>
      <c r="AB28" s="207" t="s">
        <v>102</v>
      </c>
    </row>
    <row r="29" spans="1:28" ht="225">
      <c r="A29" s="207" t="s">
        <v>230</v>
      </c>
      <c r="B29" s="428">
        <v>46281.050636574073</v>
      </c>
      <c r="C29" s="207" t="s">
        <v>29</v>
      </c>
      <c r="D29" s="207" t="s">
        <v>550</v>
      </c>
      <c r="E29" s="207" t="s">
        <v>31</v>
      </c>
      <c r="F29" s="21" t="s">
        <v>551</v>
      </c>
      <c r="G29" s="207"/>
      <c r="H29" s="429">
        <v>46283</v>
      </c>
      <c r="I29" s="21">
        <v>15064182</v>
      </c>
      <c r="J29" s="21"/>
      <c r="K29" s="207"/>
      <c r="L29" s="207" t="s">
        <v>556</v>
      </c>
      <c r="M29" s="207"/>
      <c r="N29" s="207"/>
      <c r="O29" s="207" t="s">
        <v>555</v>
      </c>
      <c r="P29" s="207"/>
      <c r="Q29" s="207"/>
      <c r="R29" s="207">
        <v>0</v>
      </c>
      <c r="S29" s="207">
        <v>19</v>
      </c>
      <c r="T29" s="207"/>
      <c r="U29" s="207"/>
      <c r="V29" s="207"/>
      <c r="W29" s="207"/>
      <c r="X29" s="207"/>
      <c r="Y29" s="207"/>
      <c r="Z29" s="207"/>
      <c r="AA29" s="207"/>
      <c r="AB29" s="207"/>
    </row>
    <row r="30" spans="1:28" ht="45">
      <c r="A30" s="207" t="s">
        <v>232</v>
      </c>
      <c r="B30" s="428">
        <v>46280.743368055555</v>
      </c>
      <c r="C30" s="207" t="s">
        <v>552</v>
      </c>
      <c r="D30" s="207" t="s">
        <v>233</v>
      </c>
      <c r="E30" s="207" t="s">
        <v>234</v>
      </c>
      <c r="F30" s="21" t="s">
        <v>235</v>
      </c>
      <c r="G30" s="207" t="s">
        <v>32</v>
      </c>
      <c r="H30" s="429">
        <v>46283.833333333336</v>
      </c>
      <c r="I30" s="21">
        <v>34556648</v>
      </c>
      <c r="J30" s="21"/>
      <c r="K30" s="207"/>
      <c r="L30" s="207"/>
      <c r="M30" s="207"/>
      <c r="N30" s="207"/>
      <c r="O30" s="207" t="s">
        <v>202</v>
      </c>
      <c r="P30" s="207">
        <v>53.07</v>
      </c>
      <c r="Q30" s="207">
        <v>53.07</v>
      </c>
      <c r="R30" s="207">
        <v>0</v>
      </c>
      <c r="S30" s="207">
        <v>4</v>
      </c>
      <c r="T30" s="207">
        <v>19</v>
      </c>
      <c r="U30" s="207">
        <v>17</v>
      </c>
      <c r="V30" s="207">
        <v>5010496859211</v>
      </c>
      <c r="W30" s="207">
        <v>3.8</v>
      </c>
      <c r="X30" s="207" t="s">
        <v>209</v>
      </c>
      <c r="Y30" s="207" t="s">
        <v>144</v>
      </c>
      <c r="Z30" s="207" t="s">
        <v>136</v>
      </c>
      <c r="AA30" s="207" t="s">
        <v>236</v>
      </c>
      <c r="AB30" s="207" t="s">
        <v>237</v>
      </c>
    </row>
    <row r="31" spans="1:28" ht="90">
      <c r="A31" s="207" t="s">
        <v>238</v>
      </c>
      <c r="B31" s="428">
        <v>46280.041261574072</v>
      </c>
      <c r="C31" s="207" t="s">
        <v>29</v>
      </c>
      <c r="D31" s="207" t="s">
        <v>239</v>
      </c>
      <c r="E31" s="207" t="s">
        <v>31</v>
      </c>
      <c r="F31" s="21" t="s">
        <v>240</v>
      </c>
      <c r="G31" s="207" t="s">
        <v>64</v>
      </c>
      <c r="H31" s="429">
        <v>46288</v>
      </c>
      <c r="I31" s="21">
        <v>6459589</v>
      </c>
      <c r="J31" s="21"/>
      <c r="K31" s="207"/>
      <c r="L31" s="207"/>
      <c r="M31" s="207"/>
      <c r="N31" s="207"/>
      <c r="O31" s="207" t="s">
        <v>127</v>
      </c>
      <c r="P31" s="207">
        <v>78.099999999999994</v>
      </c>
      <c r="Q31" s="207">
        <v>78.099999999999994</v>
      </c>
      <c r="R31" s="207">
        <v>0</v>
      </c>
      <c r="S31" s="207">
        <v>5</v>
      </c>
      <c r="T31" s="207">
        <v>20</v>
      </c>
      <c r="U31" s="207">
        <v>6</v>
      </c>
      <c r="V31" s="207">
        <v>5010496265754</v>
      </c>
      <c r="W31" s="207">
        <v>2.1</v>
      </c>
      <c r="X31" s="207" t="s">
        <v>203</v>
      </c>
      <c r="Y31" s="207" t="s">
        <v>157</v>
      </c>
      <c r="Z31" s="207" t="s">
        <v>73</v>
      </c>
      <c r="AA31" s="207" t="s">
        <v>80</v>
      </c>
      <c r="AB31" s="207" t="s">
        <v>187</v>
      </c>
    </row>
    <row r="32" spans="1:28" ht="60">
      <c r="A32" s="207" t="s">
        <v>241</v>
      </c>
      <c r="B32" s="428">
        <v>46280.281145833331</v>
      </c>
      <c r="C32" s="207" t="s">
        <v>552</v>
      </c>
      <c r="D32" s="207" t="s">
        <v>242</v>
      </c>
      <c r="E32" s="207" t="s">
        <v>234</v>
      </c>
      <c r="F32" s="21" t="s">
        <v>243</v>
      </c>
      <c r="G32" s="207" t="s">
        <v>64</v>
      </c>
      <c r="H32" s="429">
        <v>46282.833333333336</v>
      </c>
      <c r="I32" s="21">
        <v>502295812</v>
      </c>
      <c r="J32" s="21"/>
      <c r="K32" s="207"/>
      <c r="L32" s="207"/>
      <c r="M32" s="207"/>
      <c r="N32" s="207"/>
      <c r="O32" s="207" t="s">
        <v>244</v>
      </c>
      <c r="P32" s="207">
        <v>65.8</v>
      </c>
      <c r="Q32" s="207">
        <v>65.8</v>
      </c>
      <c r="R32" s="207">
        <v>0</v>
      </c>
      <c r="S32" s="207">
        <v>4</v>
      </c>
      <c r="T32" s="207">
        <v>20</v>
      </c>
      <c r="U32" s="207">
        <v>10</v>
      </c>
      <c r="V32" s="207">
        <v>5010496941983</v>
      </c>
      <c r="W32" s="207">
        <v>2.9</v>
      </c>
      <c r="X32" s="207" t="s">
        <v>203</v>
      </c>
      <c r="Y32" s="207" t="s">
        <v>245</v>
      </c>
      <c r="Z32" s="207" t="s">
        <v>168</v>
      </c>
      <c r="AA32" s="207" t="s">
        <v>224</v>
      </c>
      <c r="AB32" s="207" t="s">
        <v>221</v>
      </c>
    </row>
    <row r="33" spans="1:28" ht="90">
      <c r="A33" s="207" t="s">
        <v>246</v>
      </c>
      <c r="B33" s="428">
        <v>46280.03974537037</v>
      </c>
      <c r="C33" s="207" t="s">
        <v>29</v>
      </c>
      <c r="D33" s="207" t="s">
        <v>247</v>
      </c>
      <c r="E33" s="207" t="s">
        <v>31</v>
      </c>
      <c r="F33" s="21" t="s">
        <v>248</v>
      </c>
      <c r="G33" s="207" t="s">
        <v>32</v>
      </c>
      <c r="H33" s="429">
        <v>46281.833333333336</v>
      </c>
      <c r="I33" s="21">
        <v>502118084</v>
      </c>
      <c r="J33" s="21"/>
      <c r="K33" s="207"/>
      <c r="L33" s="207" t="s">
        <v>249</v>
      </c>
      <c r="M33" s="207"/>
      <c r="N33" s="207" t="s">
        <v>250</v>
      </c>
      <c r="O33" s="207" t="s">
        <v>98</v>
      </c>
      <c r="P33" s="207">
        <v>81.099999999999994</v>
      </c>
      <c r="Q33" s="207">
        <v>81.099999999999994</v>
      </c>
      <c r="R33" s="207">
        <v>0</v>
      </c>
      <c r="S33" s="207">
        <v>12</v>
      </c>
      <c r="T33" s="207">
        <v>20</v>
      </c>
      <c r="U33" s="207">
        <v>15</v>
      </c>
      <c r="V33" s="207">
        <v>5010494296324</v>
      </c>
      <c r="W33" s="207">
        <v>9.3000000000000007</v>
      </c>
      <c r="X33" s="207" t="s">
        <v>203</v>
      </c>
      <c r="Y33" s="207" t="s">
        <v>251</v>
      </c>
      <c r="Z33" s="207" t="s">
        <v>60</v>
      </c>
      <c r="AA33" s="207" t="s">
        <v>252</v>
      </c>
      <c r="AB33" s="207" t="s">
        <v>112</v>
      </c>
    </row>
    <row r="34" spans="1:28" ht="30">
      <c r="A34" s="207" t="s">
        <v>253</v>
      </c>
      <c r="B34" s="428">
        <v>46280.281840277778</v>
      </c>
      <c r="C34" s="207" t="s">
        <v>552</v>
      </c>
      <c r="D34" s="207" t="s">
        <v>254</v>
      </c>
      <c r="E34" s="207" t="s">
        <v>31</v>
      </c>
      <c r="F34" s="21" t="s">
        <v>255</v>
      </c>
      <c r="G34" s="207" t="s">
        <v>32</v>
      </c>
      <c r="H34" s="429">
        <v>46282</v>
      </c>
      <c r="I34" s="21">
        <v>21058187</v>
      </c>
      <c r="J34" s="21"/>
      <c r="K34" s="207"/>
      <c r="L34" s="207"/>
      <c r="M34" s="207"/>
      <c r="N34" s="207"/>
      <c r="O34" s="207" t="s">
        <v>256</v>
      </c>
      <c r="P34" s="207">
        <v>82.6</v>
      </c>
      <c r="Q34" s="207">
        <v>82.6</v>
      </c>
      <c r="R34" s="207">
        <v>0</v>
      </c>
      <c r="S34" s="207">
        <v>4</v>
      </c>
      <c r="T34" s="207">
        <v>16</v>
      </c>
      <c r="U34" s="207">
        <v>15</v>
      </c>
      <c r="V34" s="207">
        <v>5010496870967</v>
      </c>
      <c r="W34" s="207">
        <v>4.2</v>
      </c>
      <c r="X34" s="207" t="s">
        <v>257</v>
      </c>
      <c r="Y34" s="207" t="s">
        <v>173</v>
      </c>
      <c r="Z34" s="207" t="s">
        <v>118</v>
      </c>
      <c r="AA34" s="207" t="s">
        <v>258</v>
      </c>
      <c r="AB34" s="207" t="s">
        <v>259</v>
      </c>
    </row>
  </sheetData>
  <phoneticPr fontId="29" type="noConversion"/>
  <pageMargins left="0.25" right="0.25" top="0.75" bottom="0.75" header="0.3" footer="0.3"/>
  <pageSetup scale="56" fitToHeight="0"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CE7CB-A7EA-4919-AC1D-9529C7E6F7CC}">
  <dimension ref="A1:H37"/>
  <sheetViews>
    <sheetView tabSelected="1" zoomScaleNormal="100" workbookViewId="0">
      <selection activeCell="C23" sqref="C23"/>
    </sheetView>
  </sheetViews>
  <sheetFormatPr defaultColWidth="9.140625" defaultRowHeight="18.75"/>
  <cols>
    <col min="1" max="3" width="35.5703125" style="208" customWidth="1"/>
    <col min="4" max="4" width="41.5703125" style="208" customWidth="1"/>
    <col min="5" max="5" width="9.140625" style="208"/>
    <col min="6" max="6" width="116.28515625" style="208" bestFit="1" customWidth="1"/>
    <col min="7" max="7" width="9.140625" style="208"/>
    <col min="8" max="8" width="58.7109375" style="225" bestFit="1" customWidth="1"/>
    <col min="9" max="16384" width="9.140625" style="208"/>
  </cols>
  <sheetData>
    <row r="1" spans="1:8" ht="15.75" thickBot="1">
      <c r="A1" s="327" t="s">
        <v>380</v>
      </c>
      <c r="B1" s="328"/>
      <c r="C1" s="328"/>
      <c r="D1" s="329"/>
      <c r="F1" s="209" t="s">
        <v>381</v>
      </c>
      <c r="H1" s="209" t="s">
        <v>382</v>
      </c>
    </row>
    <row r="2" spans="1:8" ht="24.95" customHeight="1" thickBot="1">
      <c r="A2" s="210" t="s">
        <v>276</v>
      </c>
      <c r="B2" s="265">
        <f ca="1">TODAY()</f>
        <v>46281</v>
      </c>
      <c r="C2" s="211" t="s">
        <v>383</v>
      </c>
      <c r="D2" s="269" t="s">
        <v>384</v>
      </c>
      <c r="F2" s="212" t="s">
        <v>385</v>
      </c>
      <c r="H2" s="229" t="s">
        <v>284</v>
      </c>
    </row>
    <row r="3" spans="1:8" ht="24.95" customHeight="1" thickBot="1">
      <c r="A3" s="213" t="s">
        <v>386</v>
      </c>
      <c r="B3" s="266" t="s">
        <v>379</v>
      </c>
      <c r="C3" s="214" t="s">
        <v>387</v>
      </c>
      <c r="D3" s="267"/>
      <c r="F3" s="285"/>
      <c r="H3" s="230" t="s">
        <v>388</v>
      </c>
    </row>
    <row r="4" spans="1:8" ht="24.95" customHeight="1">
      <c r="A4" s="213" t="s">
        <v>389</v>
      </c>
      <c r="B4" s="271"/>
      <c r="C4" s="214" t="s">
        <v>390</v>
      </c>
      <c r="D4" s="270" t="s">
        <v>391</v>
      </c>
      <c r="F4" s="212" t="s">
        <v>392</v>
      </c>
      <c r="H4" s="231" t="s">
        <v>297</v>
      </c>
    </row>
    <row r="5" spans="1:8" ht="24.95" customHeight="1">
      <c r="A5" s="286" t="s">
        <v>393</v>
      </c>
      <c r="B5" s="271"/>
      <c r="C5" s="287" t="s">
        <v>394</v>
      </c>
      <c r="D5" s="267" t="s">
        <v>395</v>
      </c>
      <c r="F5" s="288" t="s">
        <v>396</v>
      </c>
      <c r="H5" s="230" t="s">
        <v>397</v>
      </c>
    </row>
    <row r="6" spans="1:8" ht="24.95" customHeight="1">
      <c r="A6" s="218" t="s">
        <v>398</v>
      </c>
      <c r="B6" s="272"/>
      <c r="C6" s="215" t="s">
        <v>399</v>
      </c>
      <c r="D6" s="270"/>
      <c r="H6" s="230" t="s">
        <v>377</v>
      </c>
    </row>
    <row r="7" spans="1:8" ht="24.95" customHeight="1">
      <c r="A7" s="213" t="s">
        <v>400</v>
      </c>
      <c r="B7" s="283"/>
      <c r="C7" s="289" t="s">
        <v>401</v>
      </c>
      <c r="D7" s="270">
        <v>31</v>
      </c>
      <c r="F7" s="288" t="s">
        <v>402</v>
      </c>
      <c r="H7" s="230" t="s">
        <v>403</v>
      </c>
    </row>
    <row r="8" spans="1:8" ht="24.95" customHeight="1" thickBot="1">
      <c r="A8" s="286" t="s">
        <v>404</v>
      </c>
      <c r="B8" s="268" t="s">
        <v>405</v>
      </c>
      <c r="C8" s="287" t="s">
        <v>406</v>
      </c>
      <c r="D8" s="270"/>
      <c r="F8" s="212" t="s">
        <v>407</v>
      </c>
      <c r="H8" s="230" t="s">
        <v>408</v>
      </c>
    </row>
    <row r="9" spans="1:8" ht="24.95" customHeight="1" thickBot="1">
      <c r="A9" s="290" t="s">
        <v>409</v>
      </c>
      <c r="B9" s="291" t="s">
        <v>410</v>
      </c>
      <c r="C9" s="289" t="s">
        <v>411</v>
      </c>
      <c r="D9" s="270">
        <v>5</v>
      </c>
      <c r="H9" s="230" t="s">
        <v>412</v>
      </c>
    </row>
    <row r="10" spans="1:8" ht="24.95" customHeight="1" thickBot="1">
      <c r="A10" s="327" t="s">
        <v>413</v>
      </c>
      <c r="B10" s="329"/>
      <c r="C10" s="333" t="s">
        <v>414</v>
      </c>
      <c r="D10" s="334"/>
      <c r="H10" s="232" t="s">
        <v>332</v>
      </c>
    </row>
    <row r="11" spans="1:8" ht="24.95" customHeight="1">
      <c r="A11" s="292">
        <v>8904</v>
      </c>
      <c r="B11" s="234"/>
      <c r="C11" s="335" t="s">
        <v>415</v>
      </c>
      <c r="D11" s="338" t="s">
        <v>416</v>
      </c>
      <c r="H11" s="232" t="s">
        <v>303</v>
      </c>
    </row>
    <row r="12" spans="1:8" ht="24.95" customHeight="1">
      <c r="A12" s="235">
        <v>8905</v>
      </c>
      <c r="B12" s="293"/>
      <c r="C12" s="336"/>
      <c r="D12" s="339"/>
    </row>
    <row r="13" spans="1:8" ht="24.95" customHeight="1">
      <c r="A13" s="281"/>
      <c r="B13" s="293"/>
      <c r="C13" s="336"/>
      <c r="D13" s="339"/>
      <c r="H13" s="230" t="s">
        <v>417</v>
      </c>
    </row>
    <row r="14" spans="1:8" ht="24.95" customHeight="1">
      <c r="A14" s="235">
        <v>8920</v>
      </c>
      <c r="B14" s="293"/>
      <c r="C14" s="336"/>
      <c r="D14" s="339"/>
      <c r="H14" s="233" t="s">
        <v>418</v>
      </c>
    </row>
    <row r="15" spans="1:8" ht="24.95" customHeight="1" thickBot="1">
      <c r="A15" s="236">
        <v>8925</v>
      </c>
      <c r="B15" s="237"/>
      <c r="C15" s="337"/>
      <c r="D15" s="340"/>
      <c r="H15" s="233" t="s">
        <v>419</v>
      </c>
    </row>
    <row r="16" spans="1:8" ht="24.95" customHeight="1" thickBot="1">
      <c r="A16" s="344"/>
      <c r="B16" s="345"/>
      <c r="C16" s="345"/>
      <c r="D16" s="346"/>
      <c r="H16" s="233" t="s">
        <v>420</v>
      </c>
    </row>
    <row r="17" spans="1:8" ht="24.95" customHeight="1" thickBot="1">
      <c r="A17" s="264" t="s">
        <v>421</v>
      </c>
      <c r="B17" s="294"/>
      <c r="C17" s="224" t="s">
        <v>422</v>
      </c>
      <c r="D17" s="295"/>
      <c r="F17" s="288" t="s">
        <v>423</v>
      </c>
    </row>
    <row r="18" spans="1:8" ht="24.95" customHeight="1" thickBot="1">
      <c r="A18" s="221" t="s">
        <v>424</v>
      </c>
      <c r="B18" s="222" t="s">
        <v>425</v>
      </c>
      <c r="C18" s="222" t="s">
        <v>426</v>
      </c>
      <c r="D18" s="223" t="s">
        <v>427</v>
      </c>
      <c r="H18" s="282" t="s">
        <v>428</v>
      </c>
    </row>
    <row r="19" spans="1:8" ht="24.95" customHeight="1" thickBot="1">
      <c r="A19" s="216" t="s">
        <v>429</v>
      </c>
      <c r="B19" s="273">
        <v>8930</v>
      </c>
      <c r="C19" s="296" t="s">
        <v>410</v>
      </c>
      <c r="D19" s="274"/>
      <c r="F19" s="220" t="s">
        <v>319</v>
      </c>
    </row>
    <row r="20" spans="1:8" ht="24.95" customHeight="1" thickBot="1">
      <c r="A20" s="217" t="s">
        <v>430</v>
      </c>
      <c r="B20" s="275">
        <v>8936</v>
      </c>
      <c r="C20" s="296" t="s">
        <v>410</v>
      </c>
      <c r="D20" s="297"/>
    </row>
    <row r="21" spans="1:8" ht="24.95" customHeight="1" thickBot="1">
      <c r="A21" s="341" t="s">
        <v>431</v>
      </c>
      <c r="B21" s="342"/>
      <c r="C21" s="342"/>
      <c r="D21" s="343"/>
    </row>
    <row r="22" spans="1:8" ht="24.95" customHeight="1" thickBot="1">
      <c r="A22" s="219" t="s">
        <v>425</v>
      </c>
      <c r="B22" s="219" t="s">
        <v>432</v>
      </c>
      <c r="C22" s="219" t="s">
        <v>433</v>
      </c>
      <c r="D22" s="219" t="s">
        <v>427</v>
      </c>
    </row>
    <row r="23" spans="1:8" ht="24.95" customHeight="1">
      <c r="A23" s="238">
        <v>8921</v>
      </c>
      <c r="B23" s="298" t="s">
        <v>405</v>
      </c>
      <c r="C23" s="298"/>
      <c r="D23" s="299"/>
    </row>
    <row r="24" spans="1:8" ht="24.95" customHeight="1">
      <c r="A24" s="238">
        <v>8934</v>
      </c>
      <c r="B24" s="284" t="s">
        <v>405</v>
      </c>
      <c r="C24" s="284"/>
      <c r="D24" s="239"/>
    </row>
    <row r="25" spans="1:8" ht="24.95" customHeight="1">
      <c r="A25" s="277"/>
      <c r="B25" s="300"/>
      <c r="C25" s="284"/>
      <c r="D25" s="301"/>
    </row>
    <row r="26" spans="1:8" ht="24.95" customHeight="1">
      <c r="A26" s="238"/>
      <c r="B26" s="311"/>
      <c r="C26" s="284"/>
      <c r="D26" s="301"/>
    </row>
    <row r="27" spans="1:8" ht="24.95" customHeight="1">
      <c r="A27" s="238"/>
      <c r="B27" s="277"/>
      <c r="C27" s="284"/>
      <c r="D27" s="301"/>
    </row>
    <row r="28" spans="1:8" ht="24.95" customHeight="1">
      <c r="A28" s="238"/>
      <c r="B28" s="284"/>
      <c r="C28" s="284"/>
      <c r="D28" s="301"/>
    </row>
    <row r="29" spans="1:8" ht="24.95" customHeight="1">
      <c r="A29" s="238"/>
      <c r="B29" s="284"/>
      <c r="C29" s="284"/>
      <c r="D29" s="301"/>
    </row>
    <row r="30" spans="1:8" ht="24.95" customHeight="1" thickBot="1">
      <c r="A30" s="238"/>
      <c r="B30" s="284"/>
      <c r="C30" s="284"/>
      <c r="D30" s="239"/>
    </row>
    <row r="31" spans="1:8" ht="24.95" customHeight="1" thickBot="1">
      <c r="A31" s="330" t="s">
        <v>434</v>
      </c>
      <c r="B31" s="331"/>
      <c r="C31" s="331"/>
      <c r="D31" s="332"/>
    </row>
    <row r="32" spans="1:8" ht="24.95" customHeight="1" thickBot="1">
      <c r="A32" s="262" t="s">
        <v>435</v>
      </c>
      <c r="B32" s="262" t="s">
        <v>436</v>
      </c>
      <c r="C32" s="262" t="s">
        <v>437</v>
      </c>
      <c r="D32" s="262" t="s">
        <v>438</v>
      </c>
    </row>
    <row r="33" spans="1:4" ht="30" customHeight="1">
      <c r="A33" s="302" t="s">
        <v>439</v>
      </c>
      <c r="B33" s="240" t="s">
        <v>440</v>
      </c>
      <c r="C33" s="240" t="s">
        <v>441</v>
      </c>
      <c r="D33" s="312" t="s">
        <v>442</v>
      </c>
    </row>
    <row r="34" spans="1:4" ht="30" customHeight="1">
      <c r="A34" s="263" t="s">
        <v>443</v>
      </c>
      <c r="B34" s="242" t="s">
        <v>444</v>
      </c>
      <c r="C34" s="303"/>
      <c r="D34" s="243" t="s">
        <v>445</v>
      </c>
    </row>
    <row r="35" spans="1:4" ht="30" customHeight="1">
      <c r="A35" s="241"/>
      <c r="B35" s="242" t="s">
        <v>446</v>
      </c>
      <c r="C35" s="242"/>
      <c r="D35" s="243"/>
    </row>
    <row r="36" spans="1:4" ht="30" customHeight="1">
      <c r="A36" s="241"/>
      <c r="B36" s="242" t="s">
        <v>447</v>
      </c>
      <c r="C36" s="242"/>
      <c r="D36" s="243"/>
    </row>
    <row r="37" spans="1:4" ht="30" customHeight="1" thickBot="1">
      <c r="A37" s="244"/>
      <c r="B37" s="245"/>
      <c r="C37" s="245"/>
      <c r="D37" s="246"/>
    </row>
  </sheetData>
  <sheetProtection algorithmName="SHA-512" hashValue="nDPuO39JGpaJ8gpwncqgXlyq+mRmhqmXiA5CZJditv0wtGExjjsc1XCossj6PFcjJ8k5kEsp2rFrcUyVcYJRmQ==" saltValue="Le9GYh2YBTj/sUkneTFRAg==" spinCount="100000" sheet="1" objects="1" scenarios="1"/>
  <mergeCells count="8">
    <mergeCell ref="A1:D1"/>
    <mergeCell ref="A10:B10"/>
    <mergeCell ref="A31:D31"/>
    <mergeCell ref="C10:D10"/>
    <mergeCell ref="C11:C15"/>
    <mergeCell ref="D11:D15"/>
    <mergeCell ref="A21:D21"/>
    <mergeCell ref="A16:D16"/>
  </mergeCells>
  <conditionalFormatting sqref="C27 B28:C30 B26:C26 C25 B23:C24">
    <cfRule type="containsText" dxfId="47" priority="2" operator="containsText" text="No">
      <formula>NOT(ISERROR(SEARCH("No",B23)))</formula>
    </cfRule>
    <cfRule type="containsText" dxfId="46" priority="3" operator="containsText" text="Yes">
      <formula>NOT(ISERROR(SEARCH("Yes",B23)))</formula>
    </cfRule>
  </conditionalFormatting>
  <conditionalFormatting sqref="A11:A15">
    <cfRule type="containsBlanks" dxfId="45" priority="1">
      <formula>LEN(TRIM(A11))=0</formula>
    </cfRule>
  </conditionalFormatting>
  <hyperlinks>
    <hyperlink ref="F19" r:id="rId1" display="https://forms.cloud.microsoft/Pages/ResponsePage.aspx?id=eGbDaoV3b0e-A7aLQDc0wr1htiXwwbZMvUwPEczcQq1URTZIQ0QzOTg2VU01VzU0SzRCTzI3UFJGSy4u&amp;origin=QRCode" xr:uid="{EC9E17C3-C1C9-42FA-82EC-5CD07305B01B}"/>
    <hyperlink ref="H3" r:id="rId2" xr:uid="{9F214891-8093-4901-AAA0-33177322C004}"/>
    <hyperlink ref="H4" r:id="rId3" xr:uid="{9B4CD4E2-E7C1-4D42-ADA2-33AEF49A8D7F}"/>
    <hyperlink ref="H2" r:id="rId4" xr:uid="{A1E4D318-3B47-4893-B55A-56AFABF963EF}"/>
    <hyperlink ref="H5" r:id="rId5" xr:uid="{76919E60-04C7-4C57-97F2-AE614B9C1653}"/>
    <hyperlink ref="H6" r:id="rId6" xr:uid="{9AAC1AAC-064F-4C8E-A60A-3C81B85FF15D}"/>
    <hyperlink ref="H7" r:id="rId7" xr:uid="{A98A7AF3-5A33-418B-B4E4-E96DC24EA68B}"/>
    <hyperlink ref="H8" r:id="rId8" xr:uid="{A9E1918A-0937-4FD7-9620-CA1FC02E460C}"/>
    <hyperlink ref="H9" r:id="rId9" xr:uid="{D39504D9-FBDE-417B-BB9F-8EBE5F774C92}"/>
    <hyperlink ref="H10" r:id="rId10" xr:uid="{7FDCAE33-0C07-44CD-BA5D-A13A940B02A0}"/>
    <hyperlink ref="H13" r:id="rId11" xr:uid="{BB91E9EA-D46C-4C79-A232-413E3227F5D8}"/>
    <hyperlink ref="H14" r:id="rId12" xr:uid="{C4DFB0DF-647A-4B65-94DA-90C42154D95F}"/>
    <hyperlink ref="H15" r:id="rId13" xr:uid="{05E76FAA-EFBB-4538-8EAC-50E0D438BEB7}"/>
    <hyperlink ref="H16" r:id="rId14" xr:uid="{98E8588A-64CA-4F42-BC04-1BCDBE93E527}"/>
    <hyperlink ref="H11" r:id="rId15" xr:uid="{13E54BB6-CFF3-4903-836A-F63255200458}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53C193-D16F-4BC5-A151-4F14C087AA32}">
  <sheetPr codeName="Sheet5">
    <tabColor rgb="FFFFC7E0"/>
    <pageSetUpPr fitToPage="1"/>
  </sheetPr>
  <dimension ref="A1:O42"/>
  <sheetViews>
    <sheetView workbookViewId="0">
      <selection sqref="A1:I1"/>
    </sheetView>
  </sheetViews>
  <sheetFormatPr defaultColWidth="8.85546875" defaultRowHeight="15"/>
  <cols>
    <col min="2" max="2" width="8.7109375" style="20" customWidth="1"/>
    <col min="3" max="3" width="20.42578125" style="37" customWidth="1"/>
    <col min="4" max="4" width="13" style="14" customWidth="1"/>
    <col min="5" max="5" width="7.28515625" style="20" customWidth="1"/>
    <col min="6" max="6" width="96.7109375" style="22" customWidth="1"/>
    <col min="7" max="7" width="17.85546875" style="23" customWidth="1"/>
    <col min="8" max="8" width="7.140625" style="20" customWidth="1"/>
    <col min="9" max="9" width="9.140625" customWidth="1"/>
    <col min="15" max="15" width="14.42578125" style="29" bestFit="1" customWidth="1"/>
  </cols>
  <sheetData>
    <row r="1" spans="1:10" ht="36">
      <c r="A1" s="347" t="s">
        <v>260</v>
      </c>
      <c r="B1" s="347"/>
      <c r="C1" s="347"/>
      <c r="D1" s="347"/>
      <c r="E1" s="347"/>
      <c r="F1" s="347"/>
      <c r="G1" s="347"/>
      <c r="H1" s="347"/>
      <c r="I1" s="347"/>
    </row>
    <row r="2" spans="1:10" ht="36">
      <c r="A2" s="348" t="s">
        <v>261</v>
      </c>
      <c r="B2" s="349"/>
      <c r="C2" s="349"/>
      <c r="D2" s="349"/>
      <c r="E2" s="349"/>
      <c r="F2" s="349"/>
      <c r="G2" s="349"/>
      <c r="H2" s="349"/>
      <c r="I2" s="350"/>
    </row>
    <row r="3" spans="1:10" ht="31.5">
      <c r="A3" s="351" t="s">
        <v>262</v>
      </c>
      <c r="B3" s="352"/>
      <c r="C3" s="352"/>
      <c r="D3" s="352"/>
      <c r="E3" s="352"/>
      <c r="F3" s="352"/>
      <c r="G3" s="352"/>
      <c r="H3" s="352"/>
      <c r="I3" s="353"/>
    </row>
    <row r="4" spans="1:10" ht="45">
      <c r="A4" s="38" t="s">
        <v>263</v>
      </c>
      <c r="B4" s="39" t="s">
        <v>264</v>
      </c>
      <c r="C4" s="40" t="s">
        <v>265</v>
      </c>
      <c r="D4" s="41" t="s">
        <v>8</v>
      </c>
      <c r="E4" s="42" t="s">
        <v>18</v>
      </c>
      <c r="F4" s="43" t="s">
        <v>266</v>
      </c>
      <c r="G4" s="44" t="s">
        <v>267</v>
      </c>
      <c r="H4" s="40" t="s">
        <v>6</v>
      </c>
      <c r="I4" s="41" t="s">
        <v>7</v>
      </c>
    </row>
    <row r="5" spans="1:10" ht="72" customHeight="1">
      <c r="A5" s="30"/>
      <c r="B5" s="16">
        <v>8901</v>
      </c>
      <c r="C5" s="53"/>
      <c r="D5" s="16"/>
      <c r="E5" s="16"/>
      <c r="F5" s="55"/>
      <c r="G5" s="59"/>
      <c r="H5" s="32"/>
      <c r="I5" s="45"/>
      <c r="J5" s="28"/>
    </row>
    <row r="6" spans="1:10" ht="60" customHeight="1">
      <c r="A6" s="30"/>
      <c r="B6" s="16">
        <v>8902</v>
      </c>
      <c r="C6" s="53"/>
      <c r="D6" s="16"/>
      <c r="E6" s="16"/>
      <c r="F6" s="55"/>
      <c r="G6" s="59"/>
      <c r="H6" s="32"/>
      <c r="I6" s="45"/>
      <c r="J6" s="28"/>
    </row>
    <row r="7" spans="1:10" ht="45" customHeight="1">
      <c r="A7" s="30"/>
      <c r="B7" s="16">
        <v>8903</v>
      </c>
      <c r="C7" s="53"/>
      <c r="D7" s="16"/>
      <c r="E7" s="16"/>
      <c r="F7" s="27"/>
      <c r="G7" s="60"/>
      <c r="H7" s="24"/>
      <c r="I7" s="24"/>
      <c r="J7" s="28"/>
    </row>
    <row r="8" spans="1:10" ht="91.5" customHeight="1">
      <c r="A8" s="30"/>
      <c r="B8" s="16">
        <v>8904</v>
      </c>
      <c r="C8" s="53"/>
      <c r="D8" s="16"/>
      <c r="E8" s="16"/>
      <c r="F8" s="56"/>
      <c r="G8" s="59"/>
      <c r="H8" s="30"/>
      <c r="I8" s="32"/>
      <c r="J8" s="28"/>
    </row>
    <row r="9" spans="1:10" ht="88.5" customHeight="1">
      <c r="A9" s="18"/>
      <c r="B9" s="16">
        <v>8905</v>
      </c>
      <c r="C9" s="53"/>
      <c r="D9" s="16"/>
      <c r="E9" s="16"/>
      <c r="F9" s="27"/>
      <c r="G9" s="61"/>
      <c r="H9" s="24"/>
      <c r="I9" s="46"/>
      <c r="J9" s="28"/>
    </row>
    <row r="10" spans="1:10" ht="54.75" customHeight="1">
      <c r="A10" s="30"/>
      <c r="B10" s="16">
        <v>8906</v>
      </c>
      <c r="C10" s="53"/>
      <c r="D10" s="16"/>
      <c r="E10" s="16"/>
      <c r="F10" s="55"/>
      <c r="G10" s="59"/>
      <c r="H10" s="32"/>
      <c r="I10" s="32"/>
      <c r="J10" s="28"/>
    </row>
    <row r="11" spans="1:10" ht="39.75" customHeight="1">
      <c r="A11" s="18"/>
      <c r="B11" s="16">
        <v>8907</v>
      </c>
      <c r="C11" s="53"/>
      <c r="D11" s="16"/>
      <c r="E11" s="16"/>
      <c r="F11" s="27"/>
      <c r="G11" s="60"/>
      <c r="H11" s="25"/>
      <c r="I11" s="46"/>
      <c r="J11" s="28"/>
    </row>
    <row r="12" spans="1:10" ht="56.25" customHeight="1">
      <c r="A12" s="30"/>
      <c r="B12" s="16">
        <v>8908</v>
      </c>
      <c r="C12" s="53"/>
      <c r="D12" s="16"/>
      <c r="E12" s="16"/>
      <c r="F12" s="56"/>
      <c r="G12" s="59"/>
      <c r="H12" s="33"/>
      <c r="I12" s="45"/>
      <c r="J12" s="28"/>
    </row>
    <row r="13" spans="1:10" ht="80.25" customHeight="1">
      <c r="A13" s="18"/>
      <c r="B13" s="16">
        <v>8909</v>
      </c>
      <c r="C13" s="53"/>
      <c r="D13" s="16"/>
      <c r="E13" s="16"/>
      <c r="F13" s="56"/>
      <c r="G13" s="60"/>
      <c r="H13" s="25"/>
      <c r="I13" s="46"/>
      <c r="J13" s="28"/>
    </row>
    <row r="14" spans="1:10" ht="81.75" customHeight="1">
      <c r="A14" s="30"/>
      <c r="B14" s="16">
        <v>8910</v>
      </c>
      <c r="C14" s="53"/>
      <c r="D14" s="16"/>
      <c r="E14" s="16"/>
      <c r="F14" s="55"/>
      <c r="G14" s="59"/>
      <c r="H14" s="30"/>
      <c r="I14" s="32"/>
      <c r="J14" s="28"/>
    </row>
    <row r="15" spans="1:10" ht="40.5" customHeight="1">
      <c r="A15" s="18"/>
      <c r="B15" s="16">
        <v>8911</v>
      </c>
      <c r="C15" s="53"/>
      <c r="D15" s="16"/>
      <c r="E15" s="16"/>
      <c r="F15" s="55"/>
      <c r="G15" s="60"/>
      <c r="H15" s="18"/>
      <c r="I15" s="24"/>
      <c r="J15" s="28"/>
    </row>
    <row r="16" spans="1:10" ht="35.25" customHeight="1">
      <c r="A16" s="30"/>
      <c r="B16" s="16">
        <v>8912</v>
      </c>
      <c r="C16" s="53"/>
      <c r="D16" s="16"/>
      <c r="E16" s="16"/>
      <c r="F16" s="55"/>
      <c r="G16" s="59"/>
      <c r="H16" s="30"/>
      <c r="I16" s="32"/>
      <c r="J16" s="28"/>
    </row>
    <row r="17" spans="1:10" ht="132" customHeight="1">
      <c r="A17" s="18"/>
      <c r="B17" s="16">
        <v>8913</v>
      </c>
      <c r="C17" s="53"/>
      <c r="D17" s="16"/>
      <c r="E17" s="16"/>
      <c r="F17" s="55"/>
      <c r="G17" s="60"/>
      <c r="H17" s="24"/>
      <c r="I17" s="24"/>
      <c r="J17" s="28"/>
    </row>
    <row r="18" spans="1:10" ht="40.5" customHeight="1">
      <c r="A18" s="18"/>
      <c r="B18" s="16">
        <v>8914</v>
      </c>
      <c r="C18" s="53"/>
      <c r="D18" s="16"/>
      <c r="E18" s="16"/>
      <c r="F18" s="55"/>
      <c r="G18" s="60"/>
      <c r="H18" s="24"/>
      <c r="I18" s="24"/>
      <c r="J18" s="28"/>
    </row>
    <row r="19" spans="1:10" ht="87.75" customHeight="1">
      <c r="A19" s="30"/>
      <c r="B19" s="16">
        <v>8915</v>
      </c>
      <c r="C19" s="53"/>
      <c r="D19" s="16"/>
      <c r="E19" s="16"/>
      <c r="F19" s="55"/>
      <c r="G19" s="62"/>
      <c r="H19" s="32"/>
      <c r="I19" s="32"/>
      <c r="J19" s="28"/>
    </row>
    <row r="20" spans="1:10" ht="68.25" customHeight="1">
      <c r="A20" s="30"/>
      <c r="B20" s="16">
        <v>8916</v>
      </c>
      <c r="C20" s="53"/>
      <c r="D20" s="16"/>
      <c r="E20" s="16"/>
      <c r="F20" s="55"/>
      <c r="G20" s="62"/>
      <c r="H20" s="30"/>
      <c r="I20" s="47"/>
      <c r="J20" s="28"/>
    </row>
    <row r="21" spans="1:10" ht="44.25" customHeight="1">
      <c r="A21" s="18"/>
      <c r="B21" s="16">
        <v>8917</v>
      </c>
      <c r="C21" s="53"/>
      <c r="D21" s="16"/>
      <c r="E21" s="16"/>
      <c r="F21" s="55"/>
      <c r="G21" s="60"/>
      <c r="H21" s="18"/>
      <c r="I21" s="24"/>
      <c r="J21" s="28"/>
    </row>
    <row r="22" spans="1:10" ht="72.75" customHeight="1">
      <c r="A22" s="18"/>
      <c r="B22" s="16">
        <v>8918</v>
      </c>
      <c r="C22" s="53"/>
      <c r="D22" s="16"/>
      <c r="E22" s="16"/>
      <c r="F22" s="27"/>
      <c r="G22" s="60"/>
      <c r="H22" s="18"/>
      <c r="I22" s="24"/>
      <c r="J22" s="28"/>
    </row>
    <row r="23" spans="1:10" ht="56.25" customHeight="1">
      <c r="A23" s="30"/>
      <c r="B23" s="16">
        <v>8919</v>
      </c>
      <c r="C23" s="53"/>
      <c r="D23" s="16"/>
      <c r="E23" s="16"/>
      <c r="F23" s="34"/>
      <c r="G23" s="63"/>
      <c r="H23" s="35"/>
      <c r="I23" s="45"/>
      <c r="J23" s="28"/>
    </row>
    <row r="24" spans="1:10" ht="105" customHeight="1">
      <c r="A24" s="18"/>
      <c r="B24" s="16">
        <v>8920</v>
      </c>
      <c r="C24" s="53"/>
      <c r="D24" s="16"/>
      <c r="E24" s="16"/>
      <c r="F24" s="36"/>
      <c r="G24" s="61"/>
      <c r="H24" s="26"/>
      <c r="I24" s="46"/>
      <c r="J24" s="28"/>
    </row>
    <row r="25" spans="1:10" ht="87" customHeight="1">
      <c r="A25" s="30"/>
      <c r="B25" s="16">
        <v>8921</v>
      </c>
      <c r="C25" s="53"/>
      <c r="D25" s="16"/>
      <c r="E25" s="16"/>
      <c r="F25" s="55"/>
      <c r="G25" s="63"/>
      <c r="H25" s="33"/>
      <c r="I25" s="45"/>
      <c r="J25" s="28"/>
    </row>
    <row r="26" spans="1:10" ht="52.5" customHeight="1">
      <c r="A26" s="30"/>
      <c r="B26" s="16">
        <v>8922</v>
      </c>
      <c r="C26" s="53"/>
      <c r="D26" s="16"/>
      <c r="E26" s="16"/>
      <c r="F26" s="65"/>
      <c r="G26" s="63"/>
      <c r="H26" s="33"/>
      <c r="I26" s="45"/>
      <c r="J26" s="28"/>
    </row>
    <row r="27" spans="1:10" ht="138.75" customHeight="1">
      <c r="A27" s="18"/>
      <c r="B27" s="16">
        <v>8923</v>
      </c>
      <c r="C27" s="53"/>
      <c r="D27" s="16"/>
      <c r="E27" s="16"/>
      <c r="F27" s="56"/>
      <c r="G27" s="60"/>
      <c r="H27" s="24"/>
      <c r="I27" s="24"/>
      <c r="J27" s="28"/>
    </row>
    <row r="28" spans="1:10" ht="35.25" customHeight="1">
      <c r="A28" s="18"/>
      <c r="B28" s="16">
        <v>8924</v>
      </c>
      <c r="C28" s="53"/>
      <c r="D28" s="16"/>
      <c r="E28" s="16"/>
      <c r="F28" s="57"/>
      <c r="G28" s="60"/>
      <c r="H28" s="24"/>
      <c r="I28" s="24"/>
      <c r="J28" s="28"/>
    </row>
    <row r="29" spans="1:10" ht="25.5" customHeight="1">
      <c r="A29" s="30"/>
      <c r="B29" s="16">
        <v>8925</v>
      </c>
      <c r="C29" s="53"/>
      <c r="D29" s="16"/>
      <c r="E29" s="16"/>
      <c r="F29" s="65"/>
      <c r="G29" s="63"/>
      <c r="H29" s="32"/>
      <c r="I29" s="45"/>
      <c r="J29" s="28"/>
    </row>
    <row r="30" spans="1:10" ht="27.75" customHeight="1">
      <c r="A30" s="30"/>
      <c r="B30" s="16">
        <v>8926</v>
      </c>
      <c r="C30" s="53"/>
      <c r="D30" s="16"/>
      <c r="E30" s="16"/>
      <c r="F30" s="58"/>
      <c r="G30" s="63"/>
      <c r="H30" s="32"/>
      <c r="I30" s="45"/>
      <c r="J30" s="28"/>
    </row>
    <row r="31" spans="1:10" ht="72.75" customHeight="1">
      <c r="A31" s="18"/>
      <c r="B31" s="16">
        <v>8927</v>
      </c>
      <c r="C31" s="53"/>
      <c r="D31" s="16"/>
      <c r="E31" s="16"/>
      <c r="F31" s="55"/>
      <c r="G31" s="60"/>
      <c r="H31" s="24"/>
      <c r="I31" s="46"/>
      <c r="J31" s="28"/>
    </row>
    <row r="32" spans="1:10" ht="36" customHeight="1">
      <c r="A32" s="18"/>
      <c r="B32" s="16">
        <v>8928</v>
      </c>
      <c r="C32" s="53"/>
      <c r="D32" s="16"/>
      <c r="E32" s="16"/>
      <c r="F32" s="55"/>
      <c r="G32" s="60"/>
      <c r="H32" s="24"/>
      <c r="I32" s="46"/>
      <c r="J32" s="28"/>
    </row>
    <row r="33" spans="1:10" ht="145.5" customHeight="1">
      <c r="A33" s="30"/>
      <c r="B33" s="16">
        <v>8929</v>
      </c>
      <c r="C33" s="53"/>
      <c r="D33" s="16"/>
      <c r="E33" s="16"/>
      <c r="F33" s="56"/>
      <c r="G33" s="59"/>
      <c r="H33" s="32"/>
      <c r="I33" s="32"/>
      <c r="J33" s="28"/>
    </row>
    <row r="34" spans="1:10" ht="74.25" customHeight="1">
      <c r="A34" s="30"/>
      <c r="B34" s="16">
        <v>8930</v>
      </c>
      <c r="C34" s="53"/>
      <c r="D34" s="16"/>
      <c r="E34" s="16"/>
      <c r="F34" s="55"/>
      <c r="G34" s="59"/>
      <c r="H34" s="32"/>
      <c r="I34" s="32"/>
      <c r="J34" s="28"/>
    </row>
    <row r="35" spans="1:10" ht="48" customHeight="1">
      <c r="A35" s="18"/>
      <c r="B35" s="16">
        <v>8931</v>
      </c>
      <c r="C35" s="53"/>
      <c r="D35" s="16"/>
      <c r="E35" s="16"/>
      <c r="F35" s="55"/>
      <c r="G35" s="64"/>
      <c r="H35" s="24"/>
      <c r="I35" s="24"/>
      <c r="J35" s="28"/>
    </row>
    <row r="36" spans="1:10" ht="91.5" customHeight="1">
      <c r="A36" s="30"/>
      <c r="B36" s="16">
        <v>8932</v>
      </c>
      <c r="C36" s="53"/>
      <c r="D36" s="16"/>
      <c r="E36" s="16"/>
      <c r="F36" s="31"/>
      <c r="G36" s="59"/>
      <c r="H36" s="32"/>
      <c r="I36" s="32"/>
      <c r="J36" s="28"/>
    </row>
    <row r="37" spans="1:10" ht="39.75" customHeight="1">
      <c r="A37" s="18"/>
      <c r="B37" s="16">
        <v>8933</v>
      </c>
      <c r="C37" s="53"/>
      <c r="D37" s="16"/>
      <c r="E37" s="16"/>
      <c r="F37" s="27"/>
      <c r="G37" s="60"/>
      <c r="H37" s="24"/>
      <c r="I37" s="24"/>
      <c r="J37" s="28"/>
    </row>
    <row r="38" spans="1:10" ht="80.25" customHeight="1">
      <c r="A38" s="30"/>
      <c r="B38" s="16">
        <v>8934</v>
      </c>
      <c r="C38" s="53"/>
      <c r="D38" s="16"/>
      <c r="E38" s="16"/>
      <c r="F38" s="55"/>
      <c r="G38" s="59"/>
      <c r="H38" s="32"/>
      <c r="I38" s="45"/>
      <c r="J38" s="28"/>
    </row>
    <row r="39" spans="1:10" ht="51.75" customHeight="1">
      <c r="A39" s="18"/>
      <c r="B39" s="16">
        <v>8935</v>
      </c>
      <c r="C39" s="53"/>
      <c r="D39" s="16"/>
      <c r="E39" s="16"/>
      <c r="F39" s="56"/>
      <c r="G39" s="60"/>
      <c r="H39" s="24"/>
      <c r="I39" s="24"/>
      <c r="J39" s="28"/>
    </row>
    <row r="40" spans="1:10" ht="17.25">
      <c r="A40" s="30"/>
      <c r="B40" s="66">
        <v>8936</v>
      </c>
      <c r="C40" s="54"/>
      <c r="D40" s="19"/>
      <c r="E40" s="30"/>
      <c r="F40" s="31"/>
      <c r="G40" s="59"/>
      <c r="H40" s="32"/>
      <c r="I40" s="24"/>
    </row>
    <row r="41" spans="1:10">
      <c r="A41" s="16"/>
      <c r="B41" s="16"/>
      <c r="C41" s="48"/>
      <c r="D41" s="48"/>
      <c r="E41" s="16"/>
      <c r="F41" s="49"/>
      <c r="G41" s="50"/>
      <c r="H41" s="16"/>
      <c r="I41" s="11"/>
    </row>
    <row r="42" spans="1:10" ht="17.25">
      <c r="A42" s="11"/>
      <c r="B42" s="16"/>
      <c r="C42" s="48"/>
      <c r="D42" s="51"/>
      <c r="E42" s="16"/>
      <c r="F42" s="52"/>
      <c r="G42" s="50"/>
      <c r="H42" s="16"/>
      <c r="I42" s="11"/>
    </row>
  </sheetData>
  <mergeCells count="3">
    <mergeCell ref="A1:I1"/>
    <mergeCell ref="A2:I2"/>
    <mergeCell ref="A3:I3"/>
  </mergeCells>
  <phoneticPr fontId="29" type="noConversion"/>
  <conditionalFormatting sqref="I42:I1048576 I8:I38">
    <cfRule type="timePeriod" dxfId="44" priority="16" timePeriod="last7Days">
      <formula>AND(TODAY()-FLOOR(I8,1)&lt;=6,FLOOR(I8,1)&lt;=TODAY())</formula>
    </cfRule>
  </conditionalFormatting>
  <conditionalFormatting sqref="I1">
    <cfRule type="timePeriod" dxfId="43" priority="6" timePeriod="last7Days">
      <formula>AND(TODAY()-FLOOR(I1,1)&lt;=6,FLOOR(I1,1)&lt;=TODAY())</formula>
    </cfRule>
  </conditionalFormatting>
  <conditionalFormatting sqref="E5:E6 E8:E38">
    <cfRule type="cellIs" dxfId="42" priority="4" operator="between">
      <formula>5</formula>
      <formula>15</formula>
    </cfRule>
    <cfRule type="cellIs" dxfId="41" priority="5" operator="greaterThan">
      <formula>39</formula>
    </cfRule>
  </conditionalFormatting>
  <conditionalFormatting sqref="G5:G6 G8:G38">
    <cfRule type="notContainsBlanks" dxfId="40" priority="3">
      <formula>LEN(TRIM(G5))&gt;0</formula>
    </cfRule>
  </conditionalFormatting>
  <conditionalFormatting sqref="A5:A40">
    <cfRule type="containsText" dxfId="39" priority="2" operator="containsText" text="Y">
      <formula>NOT(ISERROR(SEARCH("Y",A5)))</formula>
    </cfRule>
  </conditionalFormatting>
  <conditionalFormatting sqref="I4:I6">
    <cfRule type="timePeriod" dxfId="38" priority="1" timePeriod="last7Days">
      <formula>AND(TODAY()-FLOOR(I4,1)&lt;=6,FLOOR(I4,1)&lt;=TODAY())</formula>
    </cfRule>
  </conditionalFormatting>
  <dataValidations count="2">
    <dataValidation type="custom" allowBlank="1" showInputMessage="1" showErrorMessage="1" sqref="B4:C4" xr:uid="{800D933A-464A-4606-83C2-C460DAD61CDF}">
      <formula1>8901</formula1>
    </dataValidation>
    <dataValidation type="list" allowBlank="1" showInputMessage="1" showErrorMessage="1" sqref="H33:H34 H29:H30 H8:H10 H5:H6 H13:H26 H36:H38" xr:uid="{846950CC-4BD3-49B6-8728-15EFEEBD63E4}">
      <formula1>"Home, HHC, IPR, SNF, ALF, Hospice, Hosp Tx"</formula1>
    </dataValidation>
  </dataValidations>
  <hyperlinks>
    <hyperlink ref="A1:I1" r:id="rId1" display="WT8 - STPCU UNIT GUIDE - please click here to access the live data" xr:uid="{8FBDE465-32D6-4D4B-9C7C-F3737108EA4B}"/>
    <hyperlink ref="A3:I3" r:id="rId2" display="UNIT GUIDE POWER APP - ALPHA" xr:uid="{C164CC99-CD72-4790-AB15-980ED98C2DFE}"/>
  </hyperlinks>
  <pageMargins left="0.2" right="0.2" top="0.25" bottom="0.5" header="0.3" footer="0.3"/>
  <pageSetup scale="54" fitToHeight="0" orientation="portrait" r:id="rId3"/>
  <tableParts count="1">
    <tablePart r:id="rId4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2FAD13C-5875-4A03-A2FC-B7E1B927B27F}">
          <x14:formula1>
            <xm:f>'DATA LISTS - DO NOT DELETE'!$C$2:$C$3</xm:f>
          </x14:formula1>
          <xm:sqref>A5:A40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>
    <tabColor rgb="FFFF00FF"/>
    <pageSetUpPr fitToPage="1"/>
  </sheetPr>
  <dimension ref="A1:X99"/>
  <sheetViews>
    <sheetView topLeftCell="A20" zoomScale="70" zoomScaleNormal="70" workbookViewId="0">
      <selection activeCell="B29" sqref="B29:V36"/>
    </sheetView>
  </sheetViews>
  <sheetFormatPr defaultColWidth="9.140625" defaultRowHeight="15" customHeight="1"/>
  <cols>
    <col min="1" max="1" width="3.7109375" style="71" customWidth="1"/>
    <col min="2" max="2" width="17.140625" style="72" customWidth="1"/>
    <col min="3" max="3" width="16.42578125" style="72" customWidth="1"/>
    <col min="4" max="4" width="40.7109375" style="71" customWidth="1"/>
    <col min="5" max="5" width="36.28515625" style="71" customWidth="1"/>
    <col min="6" max="6" width="14.7109375" style="72" customWidth="1"/>
    <col min="7" max="8" width="26.140625" style="72" customWidth="1"/>
    <col min="9" max="9" width="10.7109375" style="71" customWidth="1"/>
    <col min="10" max="10" width="45.7109375" style="102" customWidth="1"/>
    <col min="11" max="11" width="7.7109375" style="71" customWidth="1"/>
    <col min="12" max="12" width="39.7109375" style="71" customWidth="1"/>
    <col min="13" max="13" width="55" style="71" customWidth="1"/>
    <col min="14" max="14" width="32.85546875" style="71" customWidth="1"/>
    <col min="15" max="16383" width="9.140625" style="71"/>
    <col min="16384" max="16384" width="9.140625" style="71" bestFit="1"/>
  </cols>
  <sheetData>
    <row r="1" spans="1:14" ht="18.75" thickBot="1"/>
    <row r="2" spans="1:14" ht="21" customHeight="1" thickBot="1">
      <c r="B2" s="360" t="s">
        <v>273</v>
      </c>
      <c r="C2" s="360"/>
      <c r="D2" s="360"/>
      <c r="E2" s="360"/>
      <c r="F2" s="360"/>
      <c r="G2" s="360"/>
      <c r="H2" s="158"/>
      <c r="I2" s="75"/>
      <c r="J2" s="103" t="s">
        <v>274</v>
      </c>
      <c r="K2" s="391" t="e" vm="1">
        <v>#VALUE!</v>
      </c>
      <c r="L2" s="392" t="s">
        <v>275</v>
      </c>
      <c r="M2" s="354" t="s">
        <v>275</v>
      </c>
      <c r="N2" s="354" t="e" vm="2">
        <v>#VALUE!</v>
      </c>
    </row>
    <row r="3" spans="1:14" ht="39.75" customHeight="1">
      <c r="B3" s="78" t="s">
        <v>276</v>
      </c>
      <c r="C3" s="129">
        <f ca="1">TODAY()</f>
        <v>46281</v>
      </c>
      <c r="D3" s="76" t="s">
        <v>277</v>
      </c>
      <c r="E3" s="77" t="s">
        <v>278</v>
      </c>
      <c r="F3" s="78" t="s">
        <v>279</v>
      </c>
      <c r="G3" s="108" t="s">
        <v>280</v>
      </c>
      <c r="H3" s="159"/>
      <c r="I3" s="79"/>
      <c r="J3" s="104" t="s">
        <v>281</v>
      </c>
      <c r="K3" s="391"/>
      <c r="L3" s="392"/>
      <c r="M3" s="354"/>
      <c r="N3" s="354"/>
    </row>
    <row r="4" spans="1:14" ht="19.5" customHeight="1">
      <c r="B4" s="130"/>
      <c r="C4" s="131"/>
      <c r="D4" s="367" t="s">
        <v>282</v>
      </c>
      <c r="E4" s="367"/>
      <c r="F4" s="366" t="s">
        <v>283</v>
      </c>
      <c r="G4" s="366"/>
      <c r="H4" s="160"/>
      <c r="I4" s="79"/>
      <c r="J4" s="105" t="s">
        <v>284</v>
      </c>
      <c r="K4" s="391"/>
      <c r="L4" s="392"/>
      <c r="M4" s="354"/>
      <c r="N4" s="354"/>
    </row>
    <row r="5" spans="1:14" s="73" customFormat="1" ht="14.25" customHeight="1">
      <c r="B5" s="132" t="s">
        <v>285</v>
      </c>
      <c r="C5" s="80" t="s">
        <v>286</v>
      </c>
      <c r="D5" s="367"/>
      <c r="E5" s="367"/>
      <c r="F5" s="366"/>
      <c r="G5" s="366"/>
      <c r="H5" s="160"/>
      <c r="I5" s="81"/>
      <c r="J5" s="106" t="s">
        <v>287</v>
      </c>
      <c r="K5" s="391"/>
      <c r="L5" s="392"/>
      <c r="M5" s="354"/>
      <c r="N5" s="354"/>
    </row>
    <row r="6" spans="1:14" s="73" customFormat="1" ht="32.25" customHeight="1">
      <c r="B6" s="361" t="s">
        <v>288</v>
      </c>
      <c r="C6" s="362"/>
      <c r="D6" s="82" t="s">
        <v>289</v>
      </c>
      <c r="E6" s="83" t="s">
        <v>290</v>
      </c>
      <c r="F6" s="121" t="s">
        <v>291</v>
      </c>
      <c r="G6" s="109" t="s">
        <v>292</v>
      </c>
      <c r="H6" s="161"/>
      <c r="I6" s="81"/>
      <c r="J6" s="141" t="s">
        <v>293</v>
      </c>
      <c r="K6" s="391"/>
      <c r="L6" s="392"/>
      <c r="M6" s="354"/>
      <c r="N6" s="354"/>
    </row>
    <row r="7" spans="1:14" s="73" customFormat="1" ht="31.5" customHeight="1">
      <c r="B7" s="358"/>
      <c r="C7" s="359"/>
      <c r="D7" s="82" t="s">
        <v>294</v>
      </c>
      <c r="E7" s="82" t="s">
        <v>290</v>
      </c>
      <c r="F7" s="121" t="s">
        <v>295</v>
      </c>
      <c r="G7" s="110" t="s">
        <v>296</v>
      </c>
      <c r="H7" s="162"/>
      <c r="I7" s="81"/>
      <c r="J7" s="106" t="s">
        <v>297</v>
      </c>
      <c r="K7" s="391"/>
      <c r="L7" s="392"/>
      <c r="M7" s="354"/>
      <c r="N7" s="354"/>
    </row>
    <row r="8" spans="1:14" s="73" customFormat="1" ht="30" customHeight="1">
      <c r="B8" s="359"/>
      <c r="C8" s="359"/>
      <c r="D8" s="355" t="s">
        <v>298</v>
      </c>
      <c r="E8" s="355"/>
      <c r="F8" s="122" t="s">
        <v>299</v>
      </c>
      <c r="G8" s="110"/>
      <c r="H8" s="162"/>
      <c r="I8" s="81"/>
      <c r="J8" s="106" t="s">
        <v>300</v>
      </c>
      <c r="K8" s="391"/>
      <c r="L8" s="392"/>
      <c r="M8" s="354"/>
      <c r="N8" s="354"/>
    </row>
    <row r="9" spans="1:14" s="73" customFormat="1" ht="47.25" customHeight="1">
      <c r="B9" s="359"/>
      <c r="C9" s="359"/>
      <c r="D9" s="355"/>
      <c r="E9" s="355"/>
      <c r="F9" s="122" t="s">
        <v>301</v>
      </c>
      <c r="G9" s="110" t="s">
        <v>302</v>
      </c>
      <c r="H9" s="162"/>
      <c r="I9" s="81"/>
      <c r="J9" s="119" t="s">
        <v>303</v>
      </c>
      <c r="K9" s="390"/>
      <c r="L9" s="142" t="s">
        <v>304</v>
      </c>
      <c r="M9" s="151" t="s">
        <v>305</v>
      </c>
      <c r="N9" s="81"/>
    </row>
    <row r="10" spans="1:14" s="73" customFormat="1" ht="51" customHeight="1">
      <c r="B10" s="359"/>
      <c r="C10" s="359"/>
      <c r="D10" s="368" t="s">
        <v>306</v>
      </c>
      <c r="E10" s="368"/>
      <c r="F10" s="123" t="s">
        <v>307</v>
      </c>
      <c r="G10" s="156" t="s">
        <v>308</v>
      </c>
      <c r="H10" s="163"/>
      <c r="I10" s="85"/>
      <c r="J10" s="126" t="s">
        <v>309</v>
      </c>
      <c r="K10" s="390"/>
      <c r="L10" s="143"/>
      <c r="M10" s="152" t="s">
        <v>310</v>
      </c>
      <c r="N10" s="81"/>
    </row>
    <row r="11" spans="1:14" s="73" customFormat="1" ht="25.5" customHeight="1">
      <c r="B11" s="364" t="s">
        <v>311</v>
      </c>
      <c r="C11" s="364"/>
      <c r="D11" s="365"/>
      <c r="E11" s="365"/>
      <c r="F11" s="394" t="s">
        <v>312</v>
      </c>
      <c r="G11" s="394"/>
      <c r="H11" s="164"/>
      <c r="I11" s="85"/>
      <c r="J11" s="125" t="s">
        <v>313</v>
      </c>
      <c r="K11" s="390"/>
      <c r="L11" s="143"/>
      <c r="M11" s="152" t="s">
        <v>314</v>
      </c>
      <c r="N11" s="81"/>
    </row>
    <row r="12" spans="1:14" s="73" customFormat="1" ht="74.25" customHeight="1">
      <c r="B12" s="399"/>
      <c r="C12" s="400"/>
      <c r="D12" s="138" t="s">
        <v>315</v>
      </c>
      <c r="E12" s="137" t="s">
        <v>316</v>
      </c>
      <c r="F12" s="401" t="s">
        <v>317</v>
      </c>
      <c r="G12" s="402"/>
      <c r="H12" s="165"/>
      <c r="I12" s="85"/>
      <c r="J12" s="107" t="s">
        <v>318</v>
      </c>
      <c r="K12" s="390"/>
      <c r="L12" s="143"/>
      <c r="M12" s="152" t="s">
        <v>319</v>
      </c>
      <c r="N12" s="81"/>
    </row>
    <row r="13" spans="1:14" s="73" customFormat="1" ht="67.5" customHeight="1">
      <c r="A13" s="74"/>
      <c r="B13" s="359"/>
      <c r="C13" s="359"/>
      <c r="D13" s="86" t="s">
        <v>320</v>
      </c>
      <c r="E13" s="153" t="s">
        <v>321</v>
      </c>
      <c r="F13" s="363" t="s">
        <v>322</v>
      </c>
      <c r="G13" s="363"/>
      <c r="H13" s="166"/>
      <c r="I13" s="85"/>
      <c r="J13" s="107"/>
      <c r="K13" s="390"/>
      <c r="L13" s="144"/>
      <c r="M13" s="81"/>
      <c r="N13" s="81"/>
    </row>
    <row r="14" spans="1:14" s="73" customFormat="1" ht="90.75" customHeight="1">
      <c r="B14" s="359"/>
      <c r="C14" s="359"/>
      <c r="D14" s="87" t="s">
        <v>323</v>
      </c>
      <c r="E14" s="155" t="s">
        <v>324</v>
      </c>
      <c r="F14" s="373" t="s">
        <v>325</v>
      </c>
      <c r="G14" s="406"/>
      <c r="H14" s="167"/>
      <c r="I14" s="81"/>
      <c r="J14" s="107" t="s">
        <v>326</v>
      </c>
      <c r="K14" s="81"/>
      <c r="L14" s="93" t="s">
        <v>327</v>
      </c>
      <c r="M14" s="88" t="s">
        <v>328</v>
      </c>
      <c r="N14" s="81"/>
    </row>
    <row r="15" spans="1:14" s="73" customFormat="1" ht="48.75" customHeight="1">
      <c r="B15" s="356" t="s">
        <v>329</v>
      </c>
      <c r="C15" s="357"/>
      <c r="D15" s="404" t="s">
        <v>330</v>
      </c>
      <c r="E15" s="404"/>
      <c r="F15" s="403" t="s">
        <v>331</v>
      </c>
      <c r="G15" s="403"/>
      <c r="H15" s="168"/>
      <c r="I15" s="81"/>
      <c r="J15" s="107" t="s">
        <v>332</v>
      </c>
      <c r="K15" s="81"/>
      <c r="L15" s="116" t="s">
        <v>333</v>
      </c>
      <c r="M15" s="81"/>
      <c r="N15" s="81"/>
    </row>
    <row r="16" spans="1:14" s="73" customFormat="1" ht="84.75" customHeight="1">
      <c r="B16" s="358"/>
      <c r="C16" s="359"/>
      <c r="D16" s="84" t="s">
        <v>334</v>
      </c>
      <c r="E16" s="154" t="s">
        <v>335</v>
      </c>
      <c r="F16" s="383" t="s">
        <v>336</v>
      </c>
      <c r="G16" s="393"/>
      <c r="H16" s="169"/>
      <c r="I16" s="81"/>
      <c r="J16" s="134" t="s">
        <v>337</v>
      </c>
      <c r="K16" s="81"/>
      <c r="L16" s="117" t="s">
        <v>338</v>
      </c>
      <c r="M16" s="81"/>
      <c r="N16" s="81"/>
    </row>
    <row r="17" spans="2:24" s="73" customFormat="1" ht="51.75" customHeight="1">
      <c r="B17" s="383"/>
      <c r="C17" s="383"/>
      <c r="D17" s="112" t="s">
        <v>339</v>
      </c>
      <c r="E17" s="111" t="s">
        <v>340</v>
      </c>
      <c r="F17" s="383" t="s">
        <v>341</v>
      </c>
      <c r="G17" s="397"/>
      <c r="H17" s="161"/>
      <c r="I17" s="81"/>
      <c r="J17" s="119" t="s">
        <v>342</v>
      </c>
      <c r="K17" s="89"/>
      <c r="L17" s="74"/>
      <c r="M17" s="81"/>
      <c r="N17" s="81"/>
    </row>
    <row r="18" spans="2:24" s="73" customFormat="1" ht="33" customHeight="1">
      <c r="B18" s="407"/>
      <c r="C18" s="408"/>
      <c r="D18" s="112"/>
      <c r="E18" s="111"/>
      <c r="F18" s="409"/>
      <c r="G18" s="410"/>
      <c r="H18" s="170"/>
      <c r="I18" s="81"/>
      <c r="J18" s="139"/>
      <c r="K18" s="89"/>
      <c r="L18" s="74"/>
      <c r="M18" s="81"/>
      <c r="N18" s="81"/>
    </row>
    <row r="19" spans="2:24" s="73" customFormat="1" ht="78" customHeight="1">
      <c r="B19" s="398" t="s">
        <v>343</v>
      </c>
      <c r="C19" s="398"/>
      <c r="D19" s="398"/>
      <c r="E19" s="398"/>
      <c r="F19" s="405" t="s">
        <v>283</v>
      </c>
      <c r="G19" s="405"/>
      <c r="H19" s="171"/>
      <c r="I19" s="81"/>
      <c r="J19" s="120" t="e" vm="3">
        <v>#VALUE!</v>
      </c>
      <c r="K19" s="92"/>
      <c r="L19" s="74"/>
      <c r="M19" s="81"/>
      <c r="N19" s="81"/>
    </row>
    <row r="20" spans="2:24" s="73" customFormat="1" ht="128.25" customHeight="1">
      <c r="B20" s="395" t="s">
        <v>344</v>
      </c>
      <c r="C20" s="396"/>
      <c r="D20" s="124" t="s">
        <v>345</v>
      </c>
      <c r="E20" s="146" t="s">
        <v>41</v>
      </c>
      <c r="F20" s="388" t="s">
        <v>346</v>
      </c>
      <c r="G20" s="388"/>
      <c r="H20" s="172"/>
      <c r="I20" s="81"/>
      <c r="J20" s="135" t="s">
        <v>347</v>
      </c>
      <c r="K20" s="81"/>
      <c r="L20" s="118"/>
      <c r="M20" s="81"/>
      <c r="N20" s="81"/>
    </row>
    <row r="21" spans="2:24" s="73" customFormat="1" ht="115.5" customHeight="1">
      <c r="B21" s="386"/>
      <c r="C21" s="386"/>
      <c r="D21" s="124" t="s">
        <v>348</v>
      </c>
      <c r="E21" s="113" t="s">
        <v>349</v>
      </c>
      <c r="F21" s="387" t="s">
        <v>350</v>
      </c>
      <c r="G21" s="388"/>
      <c r="H21" s="172"/>
      <c r="I21" s="81"/>
      <c r="J21" s="95" t="s">
        <v>351</v>
      </c>
      <c r="K21" s="81"/>
      <c r="L21" s="89"/>
      <c r="M21" s="81"/>
      <c r="N21" s="81"/>
    </row>
    <row r="22" spans="2:24" s="73" customFormat="1" ht="36.75" customHeight="1">
      <c r="B22" s="389" t="s">
        <v>352</v>
      </c>
      <c r="C22" s="389"/>
      <c r="D22" s="371"/>
      <c r="E22" s="371"/>
      <c r="F22" s="94"/>
      <c r="G22" s="94"/>
      <c r="H22" s="173"/>
      <c r="I22" s="81"/>
      <c r="J22" s="96" t="s">
        <v>353</v>
      </c>
      <c r="L22" s="89"/>
      <c r="M22" s="81"/>
      <c r="N22" s="81"/>
    </row>
    <row r="23" spans="2:24" s="73" customFormat="1" ht="41.25" customHeight="1">
      <c r="B23" s="383"/>
      <c r="C23" s="383"/>
      <c r="D23" s="114"/>
      <c r="E23" s="115"/>
      <c r="F23" s="127" t="s">
        <v>354</v>
      </c>
      <c r="G23" s="91" t="s">
        <v>355</v>
      </c>
      <c r="H23" s="174"/>
      <c r="I23" s="81"/>
      <c r="J23" s="96" t="s">
        <v>356</v>
      </c>
      <c r="K23" s="81"/>
      <c r="L23" s="89"/>
      <c r="M23" s="81"/>
      <c r="N23" s="81"/>
    </row>
    <row r="24" spans="2:24" s="73" customFormat="1" ht="60.75" customHeight="1">
      <c r="B24" s="373"/>
      <c r="C24" s="373"/>
      <c r="D24" s="90" t="s">
        <v>357</v>
      </c>
      <c r="E24" s="140"/>
      <c r="F24" s="128" t="s">
        <v>358</v>
      </c>
      <c r="G24" s="145" t="s">
        <v>359</v>
      </c>
      <c r="H24" s="175"/>
      <c r="I24" s="81"/>
      <c r="J24" s="97" t="s">
        <v>360</v>
      </c>
      <c r="K24" s="81"/>
      <c r="L24" s="89"/>
      <c r="M24" s="81"/>
      <c r="N24" s="81"/>
    </row>
    <row r="25" spans="2:24" s="73" customFormat="1" ht="20.25" customHeight="1" thickBot="1">
      <c r="B25" s="374" t="s">
        <v>361</v>
      </c>
      <c r="C25" s="374"/>
      <c r="D25" s="375" t="s">
        <v>362</v>
      </c>
      <c r="E25" s="375"/>
      <c r="F25" s="372" t="s">
        <v>363</v>
      </c>
      <c r="G25" s="372"/>
      <c r="H25" s="176"/>
      <c r="I25" s="81"/>
      <c r="J25" s="98" t="s">
        <v>364</v>
      </c>
      <c r="K25" s="81"/>
      <c r="L25" s="81"/>
      <c r="M25" s="81"/>
      <c r="N25" s="81"/>
    </row>
    <row r="26" spans="2:24" ht="35.25" customHeight="1">
      <c r="B26" s="378">
        <v>28</v>
      </c>
      <c r="C26" s="379"/>
      <c r="D26" s="382" t="s">
        <v>365</v>
      </c>
      <c r="E26" s="382"/>
      <c r="F26" s="384" t="s">
        <v>366</v>
      </c>
      <c r="G26" s="384"/>
      <c r="H26" s="177"/>
      <c r="I26" s="75"/>
      <c r="J26" s="99" t="s">
        <v>367</v>
      </c>
      <c r="K26" s="75"/>
      <c r="L26" s="75"/>
      <c r="M26" s="75"/>
      <c r="N26" s="75"/>
    </row>
    <row r="27" spans="2:24" ht="43.5" customHeight="1" thickBot="1">
      <c r="B27" s="385" t="s">
        <v>368</v>
      </c>
      <c r="C27" s="385"/>
      <c r="D27" s="376" t="s">
        <v>369</v>
      </c>
      <c r="E27" s="376"/>
      <c r="F27" s="381" t="s">
        <v>370</v>
      </c>
      <c r="G27" s="381"/>
      <c r="H27" s="178"/>
      <c r="I27" s="75"/>
      <c r="J27" s="100" t="s">
        <v>371</v>
      </c>
      <c r="K27" s="75"/>
      <c r="L27" s="75"/>
      <c r="M27" s="75"/>
      <c r="N27" s="75"/>
    </row>
    <row r="28" spans="2:24" ht="30.75" customHeight="1">
      <c r="B28" s="380">
        <v>0</v>
      </c>
      <c r="C28" s="380"/>
      <c r="D28" s="369" t="s">
        <v>372</v>
      </c>
      <c r="E28" s="370"/>
      <c r="F28" s="377" t="s">
        <v>373</v>
      </c>
      <c r="G28" s="377"/>
      <c r="H28" s="179"/>
      <c r="I28" s="75"/>
      <c r="J28" s="101" t="s">
        <v>374</v>
      </c>
      <c r="K28" s="133"/>
      <c r="L28" s="75"/>
      <c r="M28" s="75"/>
      <c r="N28" s="75"/>
    </row>
    <row r="29" spans="2:24" ht="36.75" customHeight="1" thickBot="1">
      <c r="B29"/>
      <c r="C29"/>
      <c r="D29"/>
      <c r="E29"/>
      <c r="F29"/>
      <c r="G29"/>
      <c r="H29"/>
      <c r="I29"/>
      <c r="J29"/>
      <c r="K29"/>
      <c r="L29"/>
      <c r="M29"/>
      <c r="N29"/>
      <c r="O29"/>
      <c r="P29"/>
      <c r="Q29"/>
      <c r="R29"/>
      <c r="S29"/>
      <c r="T29"/>
      <c r="U29"/>
      <c r="V29"/>
      <c r="X29" s="96" t="s">
        <v>378</v>
      </c>
    </row>
    <row r="30" spans="2:24" ht="36.75" customHeight="1">
      <c r="B30"/>
      <c r="C30"/>
      <c r="D30"/>
      <c r="E30"/>
      <c r="F30"/>
      <c r="G30"/>
      <c r="H30"/>
      <c r="I30"/>
      <c r="J30"/>
      <c r="K30"/>
      <c r="L30"/>
      <c r="M30"/>
      <c r="N30"/>
      <c r="O30"/>
      <c r="P30"/>
      <c r="Q30"/>
      <c r="R30"/>
      <c r="S30"/>
      <c r="T30"/>
      <c r="U30"/>
      <c r="V30"/>
      <c r="X30" s="136"/>
    </row>
    <row r="31" spans="2:24" ht="36.75" customHeight="1">
      <c r="B31"/>
      <c r="C31"/>
      <c r="D31"/>
      <c r="E31"/>
      <c r="F31"/>
      <c r="G31"/>
      <c r="H31"/>
      <c r="I31"/>
      <c r="J31"/>
      <c r="K31"/>
      <c r="L31"/>
      <c r="M31"/>
      <c r="N31"/>
      <c r="O31"/>
      <c r="P31"/>
      <c r="Q31"/>
      <c r="R31"/>
      <c r="S31"/>
      <c r="T31"/>
      <c r="U31"/>
      <c r="V31"/>
    </row>
    <row r="32" spans="2:24" ht="36.75" customHeight="1">
      <c r="B32"/>
      <c r="C32"/>
      <c r="D32"/>
      <c r="E32"/>
      <c r="F32"/>
      <c r="G32"/>
      <c r="H32"/>
      <c r="I32"/>
      <c r="J32"/>
      <c r="K32"/>
      <c r="L32"/>
      <c r="M32"/>
      <c r="N32"/>
      <c r="O32"/>
      <c r="P32"/>
      <c r="Q32"/>
      <c r="R32"/>
      <c r="S32"/>
      <c r="T32"/>
      <c r="U32"/>
      <c r="V32"/>
    </row>
    <row r="33" spans="2:22" ht="36.75" customHeight="1">
      <c r="B33"/>
      <c r="C33"/>
      <c r="D33"/>
      <c r="E33"/>
      <c r="F33"/>
      <c r="G33"/>
      <c r="H33"/>
      <c r="I33"/>
      <c r="J33"/>
      <c r="K33"/>
      <c r="L33"/>
      <c r="M33"/>
      <c r="N33"/>
      <c r="O33"/>
      <c r="P33"/>
      <c r="Q33"/>
      <c r="R33"/>
      <c r="S33"/>
      <c r="T33"/>
      <c r="U33"/>
      <c r="V33"/>
    </row>
    <row r="34" spans="2:22" ht="36.75" customHeight="1">
      <c r="B34"/>
      <c r="C34"/>
      <c r="D34"/>
      <c r="E34"/>
      <c r="F34"/>
      <c r="G34"/>
      <c r="H34"/>
      <c r="I34"/>
      <c r="J34"/>
      <c r="K34"/>
      <c r="L34"/>
      <c r="M34"/>
      <c r="N34"/>
      <c r="O34"/>
      <c r="P34"/>
      <c r="Q34"/>
      <c r="R34"/>
      <c r="S34"/>
      <c r="T34"/>
      <c r="U34"/>
      <c r="V34"/>
    </row>
    <row r="35" spans="2:22" ht="36.75" customHeight="1">
      <c r="B35"/>
      <c r="C35"/>
      <c r="D35"/>
      <c r="E35"/>
      <c r="F35"/>
      <c r="G35"/>
      <c r="H35"/>
      <c r="I35"/>
      <c r="J35"/>
      <c r="K35"/>
      <c r="L35"/>
      <c r="M35"/>
      <c r="N35"/>
      <c r="O35"/>
      <c r="P35"/>
      <c r="Q35"/>
      <c r="R35"/>
      <c r="S35"/>
      <c r="T35"/>
      <c r="U35"/>
      <c r="V35"/>
    </row>
    <row r="36" spans="2:22" ht="36.75" customHeight="1">
      <c r="B36"/>
      <c r="C36"/>
      <c r="D36"/>
      <c r="E36"/>
      <c r="F36"/>
      <c r="G36"/>
      <c r="H36"/>
      <c r="I36"/>
      <c r="J36"/>
      <c r="K36"/>
      <c r="L36"/>
      <c r="M36"/>
      <c r="N36"/>
      <c r="O36"/>
      <c r="P36"/>
      <c r="Q36"/>
      <c r="R36"/>
      <c r="S36"/>
      <c r="T36"/>
      <c r="U36"/>
      <c r="V36"/>
    </row>
    <row r="37" spans="2:22" ht="36.75" customHeight="1">
      <c r="B37" s="147"/>
      <c r="C37" s="148"/>
      <c r="D37" s="149"/>
      <c r="E37" s="149"/>
      <c r="G37" s="148"/>
      <c r="H37" s="150"/>
      <c r="J37" s="136"/>
      <c r="K37" s="148"/>
      <c r="L37" s="150"/>
    </row>
    <row r="38" spans="2:22" ht="36.75" customHeight="1">
      <c r="B38" s="147"/>
      <c r="C38" s="148"/>
      <c r="D38" s="149"/>
      <c r="E38" s="149"/>
      <c r="G38" s="148"/>
      <c r="H38" s="150"/>
      <c r="J38" s="136"/>
    </row>
    <row r="39" spans="2:22" ht="36.75" customHeight="1">
      <c r="J39" s="136"/>
    </row>
    <row r="40" spans="2:22" ht="36.75" customHeight="1">
      <c r="J40" s="136"/>
    </row>
    <row r="41" spans="2:22" ht="36.75" customHeight="1">
      <c r="J41" s="136"/>
    </row>
    <row r="42" spans="2:22" ht="36.75" customHeight="1">
      <c r="J42" s="136"/>
    </row>
    <row r="43" spans="2:22" ht="36.75" customHeight="1">
      <c r="J43" s="136"/>
    </row>
    <row r="44" spans="2:22" ht="36.75" customHeight="1">
      <c r="J44" s="136"/>
    </row>
    <row r="45" spans="2:22" ht="36.75" customHeight="1">
      <c r="J45" s="136"/>
    </row>
    <row r="46" spans="2:22" ht="36.75" customHeight="1">
      <c r="J46" s="136"/>
    </row>
    <row r="47" spans="2:22" ht="36.75" customHeight="1">
      <c r="J47" s="136"/>
    </row>
    <row r="48" spans="2:22" ht="36.75" customHeight="1">
      <c r="J48" s="136"/>
    </row>
    <row r="49" spans="10:10" ht="17.45" customHeight="1">
      <c r="J49" s="136"/>
    </row>
    <row r="50" spans="10:10" ht="17.45" customHeight="1">
      <c r="J50" s="136"/>
    </row>
    <row r="51" spans="10:10" ht="17.45" customHeight="1">
      <c r="J51" s="136"/>
    </row>
    <row r="52" spans="10:10" ht="17.45" customHeight="1">
      <c r="J52" s="136"/>
    </row>
    <row r="53" spans="10:10" ht="17.45" customHeight="1">
      <c r="J53" s="136"/>
    </row>
    <row r="54" spans="10:10" ht="17.45" customHeight="1">
      <c r="J54" s="72"/>
    </row>
    <row r="55" spans="10:10" ht="17.45" customHeight="1">
      <c r="J55" s="72"/>
    </row>
    <row r="56" spans="10:10" ht="17.45" customHeight="1">
      <c r="J56" s="72"/>
    </row>
    <row r="57" spans="10:10" ht="26.25" customHeight="1">
      <c r="J57" s="72"/>
    </row>
    <row r="58" spans="10:10" ht="17.45" customHeight="1">
      <c r="J58" s="72"/>
    </row>
    <row r="59" spans="10:10" ht="17.45" customHeight="1">
      <c r="J59" s="72"/>
    </row>
    <row r="60" spans="10:10" ht="17.45" customHeight="1">
      <c r="J60" s="72"/>
    </row>
    <row r="61" spans="10:10" ht="17.45" customHeight="1">
      <c r="J61" s="72"/>
    </row>
    <row r="62" spans="10:10" ht="17.45" customHeight="1">
      <c r="J62" s="72"/>
    </row>
    <row r="63" spans="10:10" ht="17.45" customHeight="1">
      <c r="J63" s="72"/>
    </row>
    <row r="64" spans="10:10" ht="17.45" customHeight="1">
      <c r="J64" s="72"/>
    </row>
    <row r="65" spans="10:10" ht="17.45" customHeight="1">
      <c r="J65" s="72"/>
    </row>
    <row r="66" spans="10:10" ht="17.45" customHeight="1">
      <c r="J66" s="72"/>
    </row>
    <row r="67" spans="10:10" ht="17.45" customHeight="1">
      <c r="J67" s="72"/>
    </row>
    <row r="68" spans="10:10" ht="17.45" customHeight="1">
      <c r="J68" s="72"/>
    </row>
    <row r="69" spans="10:10" ht="17.45" customHeight="1">
      <c r="J69" s="72"/>
    </row>
    <row r="70" spans="10:10" ht="17.45" customHeight="1">
      <c r="J70" s="72"/>
    </row>
    <row r="71" spans="10:10" ht="17.45" customHeight="1">
      <c r="J71" s="72"/>
    </row>
    <row r="72" spans="10:10" ht="17.45" customHeight="1">
      <c r="J72" s="72"/>
    </row>
    <row r="73" spans="10:10" ht="17.45" customHeight="1">
      <c r="J73" s="72"/>
    </row>
    <row r="74" spans="10:10" ht="17.45" customHeight="1">
      <c r="J74" s="72"/>
    </row>
    <row r="75" spans="10:10" ht="17.45" customHeight="1">
      <c r="J75" s="72"/>
    </row>
    <row r="76" spans="10:10" ht="17.45" customHeight="1">
      <c r="J76" s="72"/>
    </row>
    <row r="77" spans="10:10" ht="17.45" customHeight="1">
      <c r="J77" s="72"/>
    </row>
    <row r="78" spans="10:10" ht="17.45" customHeight="1">
      <c r="J78" s="72"/>
    </row>
    <row r="79" spans="10:10" ht="17.45" customHeight="1">
      <c r="J79" s="72"/>
    </row>
    <row r="80" spans="10:10" ht="17.45" customHeight="1">
      <c r="J80" s="72"/>
    </row>
    <row r="81" spans="10:10" ht="17.45" customHeight="1">
      <c r="J81" s="72"/>
    </row>
    <row r="82" spans="10:10" ht="17.45" customHeight="1">
      <c r="J82" s="72"/>
    </row>
    <row r="83" spans="10:10" ht="17.45" customHeight="1">
      <c r="J83" s="72"/>
    </row>
    <row r="84" spans="10:10" ht="17.45" customHeight="1">
      <c r="J84" s="72"/>
    </row>
    <row r="85" spans="10:10" ht="17.45" customHeight="1">
      <c r="J85" s="72"/>
    </row>
    <row r="86" spans="10:10" ht="17.45" customHeight="1">
      <c r="J86" s="72"/>
    </row>
    <row r="87" spans="10:10" ht="17.45" customHeight="1">
      <c r="J87" s="72"/>
    </row>
    <row r="88" spans="10:10" ht="17.45" customHeight="1">
      <c r="J88" s="72"/>
    </row>
    <row r="89" spans="10:10" ht="17.45" customHeight="1">
      <c r="J89" s="72"/>
    </row>
    <row r="90" spans="10:10" ht="17.45" customHeight="1">
      <c r="J90" s="72"/>
    </row>
    <row r="91" spans="10:10" ht="17.45" customHeight="1">
      <c r="J91" s="72"/>
    </row>
    <row r="92" spans="10:10" ht="17.45" customHeight="1">
      <c r="J92" s="72"/>
    </row>
    <row r="93" spans="10:10" ht="17.45" customHeight="1">
      <c r="J93" s="72"/>
    </row>
    <row r="94" spans="10:10" ht="15" customHeight="1">
      <c r="J94" s="72"/>
    </row>
    <row r="95" spans="10:10" ht="15" customHeight="1">
      <c r="J95" s="72"/>
    </row>
    <row r="96" spans="10:10" ht="15" customHeight="1">
      <c r="J96" s="72"/>
    </row>
    <row r="97" spans="10:10" ht="15" customHeight="1">
      <c r="J97" s="72"/>
    </row>
    <row r="98" spans="10:10" ht="15" customHeight="1">
      <c r="J98" s="72"/>
    </row>
    <row r="99" spans="10:10" ht="15" customHeight="1">
      <c r="J99" s="72"/>
    </row>
  </sheetData>
  <mergeCells count="55">
    <mergeCell ref="F12:G12"/>
    <mergeCell ref="F15:G15"/>
    <mergeCell ref="D15:E15"/>
    <mergeCell ref="F19:G19"/>
    <mergeCell ref="B17:C17"/>
    <mergeCell ref="F14:G14"/>
    <mergeCell ref="B18:C18"/>
    <mergeCell ref="F18:G18"/>
    <mergeCell ref="B21:C21"/>
    <mergeCell ref="F21:G21"/>
    <mergeCell ref="B22:C22"/>
    <mergeCell ref="M2:M8"/>
    <mergeCell ref="K9:K13"/>
    <mergeCell ref="K2:K8"/>
    <mergeCell ref="L2:L8"/>
    <mergeCell ref="B13:C13"/>
    <mergeCell ref="B14:C14"/>
    <mergeCell ref="F16:G16"/>
    <mergeCell ref="F11:G11"/>
    <mergeCell ref="B20:C20"/>
    <mergeCell ref="F20:G20"/>
    <mergeCell ref="F17:G17"/>
    <mergeCell ref="B19:E19"/>
    <mergeCell ref="B12:C12"/>
    <mergeCell ref="D28:E28"/>
    <mergeCell ref="D22:E22"/>
    <mergeCell ref="F25:G25"/>
    <mergeCell ref="B24:C24"/>
    <mergeCell ref="B25:C25"/>
    <mergeCell ref="D25:E25"/>
    <mergeCell ref="D27:E27"/>
    <mergeCell ref="F28:G28"/>
    <mergeCell ref="B26:C26"/>
    <mergeCell ref="B28:C28"/>
    <mergeCell ref="F27:G27"/>
    <mergeCell ref="D26:E26"/>
    <mergeCell ref="B23:C23"/>
    <mergeCell ref="F26:G26"/>
    <mergeCell ref="B27:C27"/>
    <mergeCell ref="N2:N8"/>
    <mergeCell ref="D8:E9"/>
    <mergeCell ref="B15:C15"/>
    <mergeCell ref="B16:C16"/>
    <mergeCell ref="B2:G2"/>
    <mergeCell ref="B6:C6"/>
    <mergeCell ref="F13:G13"/>
    <mergeCell ref="B11:C11"/>
    <mergeCell ref="D11:E11"/>
    <mergeCell ref="F4:G5"/>
    <mergeCell ref="D4:E5"/>
    <mergeCell ref="B7:C7"/>
    <mergeCell ref="B8:C8"/>
    <mergeCell ref="B10:C10"/>
    <mergeCell ref="B9:C9"/>
    <mergeCell ref="D10:E10"/>
  </mergeCells>
  <phoneticPr fontId="29" type="noConversion"/>
  <hyperlinks>
    <hyperlink ref="J17" r:id="rId1" xr:uid="{464A3239-5E81-46C5-8AF3-1681BEE61507}"/>
    <hyperlink ref="J21" r:id="rId2" xr:uid="{6CF7ADC3-2B64-4BDB-AD0A-2E15535EBEB4}"/>
    <hyperlink ref="J6" r:id="rId3" xr:uid="{875E717E-62D9-4001-9605-3E7D8707B42D}"/>
    <hyperlink ref="J5" r:id="rId4" xr:uid="{832F8C35-93EC-49D5-8D61-AD8DB7F6F411}"/>
    <hyperlink ref="J8" r:id="rId5" xr:uid="{B93FEA78-6457-4442-9BB2-2FA62836A682}"/>
    <hyperlink ref="J15" r:id="rId6" xr:uid="{52CAD081-6BFE-4E4D-A2EF-4CF02978A91E}"/>
    <hyperlink ref="J7" r:id="rId7" xr:uid="{31386BD9-C31D-40C9-8378-7E5FD255F6EA}"/>
    <hyperlink ref="J16" r:id="rId8" xr:uid="{B7EF7CA4-35A9-4A8B-8F69-DF818CBF320A}"/>
    <hyperlink ref="J26" r:id="rId9" xr:uid="{40707072-71FE-4262-8CC5-F9C5AFEBE574}"/>
    <hyperlink ref="J22" r:id="rId10" display="../../../../../:x:/r/teams/ORLCampusStaffingOffice-CardiacServiceLine/Shared Documents/Cardiac Service Line/Cardiac Service Line Workbook v3.7.24.xlsx?d=w7391d71e1e1e494ea7c6fc33ce0456e5&amp;csf=1&amp;web=1&amp;e=FvjlCM" xr:uid="{CB0F7D60-FBC5-4F23-803F-A2D08BC0023A}"/>
    <hyperlink ref="J11" r:id="rId11" xr:uid="{BEEB543A-45FB-476A-B2FA-287CD83F4C15}"/>
    <hyperlink ref="N2:N8" r:id="rId12" display="pct report" xr:uid="{C2567DBD-9B88-4FAE-AB47-891C63B459B8}"/>
    <hyperlink ref="L15" r:id="rId13" xr:uid="{202C7BB3-F476-4FDB-9FC1-C72C0BD9C29C}"/>
    <hyperlink ref="J14" r:id="rId14" xr:uid="{B37C1ADC-349C-4FA6-AC0F-A28660CEFD39}"/>
    <hyperlink ref="L16" r:id="rId15" xr:uid="{F39094DB-6F71-4249-9FD7-15B06DD580DD}"/>
    <hyperlink ref="J28" r:id="rId16" display="https://ahsonline-my.sharepoint.com/:x:/r/personal/eaeaef_multihosp_net/Documents/Flex EOSR WT8.xlsx?d=w43d20d8e553f4d278440523854d10e6f&amp;csf=1&amp;web=1&amp;e=zfgXuy" xr:uid="{902F11C6-F20C-4292-AA00-40040FDC1705}"/>
    <hyperlink ref="K2" r:id="rId17" display="BLOOD PRODUCT RIDER.pdf" xr:uid="{062C1CD2-759F-4DD0-B3FB-3DDEAD8A515C}"/>
    <hyperlink ref="M2" r:id="rId18" display="../../../../../:b:/r/teams/WT8Charge/Shared Documents/General/Master Template folder/PEER TO PEER CENTRAL LINE SHEET.pdf?csf=1&amp;web=1&amp;e=nQfFDY" xr:uid="{DBC35FA9-4AED-40C8-9610-B6E8A1042E29}"/>
    <hyperlink ref="L2" r:id="rId19" display="../../../../../:w:/r/teams/WT8Charge/Shared Documents/General/Master Template folder/STPCUv2 Nursing Report Sheet 2024.docx?d=w795a02472c5e48328c3546ebc89341cc&amp;csf=1&amp;web=1&amp;e=aYuYLo" xr:uid="{0DF045D7-E568-40F8-8F9A-D84F00066E7E}"/>
    <hyperlink ref="J9" r:id="rId20" xr:uid="{85EF0C5B-7218-4DA8-90AE-2CD79462E5C2}"/>
    <hyperlink ref="L14" r:id="rId21" xr:uid="{A68C2CCE-147E-4AC9-A43A-2DA998925DB3}"/>
    <hyperlink ref="J23" r:id="rId22" xr:uid="{3EF60017-4A99-47A1-8A1C-5776DDDF10E6}"/>
    <hyperlink ref="J4" r:id="rId23" xr:uid="{1D166855-0645-468A-83CB-492B4742A3A9}"/>
    <hyperlink ref="J19" r:id="rId24" display="../../../Lists/CTPCU POC TOOL V5/AllItems.aspx?viewid=705a56db-1922-4866-b939-45ec712b019c&amp;env=WebViewList" xr:uid="{CB9E0F22-40C3-4B97-8D2F-68426F8615FB}"/>
    <hyperlink ref="J25" r:id="rId25" display="https://ahsonline-my.sharepoint.com/:x:/g/personal/jrod86_multihosp_net/EcWUEAvv18VBvmHLaKv4lbcBcyqypMJTcgcC2NubUAIqKg?e=V3mh7h&amp;CID=65c2f8d0-9b96-2e0b-1628-04d8a51c58f5" xr:uid="{2E7CAD07-A7FD-4A37-A94C-39D0EF559B5C}"/>
    <hyperlink ref="X29" r:id="rId26" display="https://ahsonline-my.sharepoint.com/:x:/r/personal/cpe9b1_multihosp_net/Documents/ICU.PCU Capacity Throughput Report Off .xlsx?d=wf36a9ccb298a4b1b8aae96d511565aa5&amp;csf=1&amp;web=1&amp;e=0J9vAT" xr:uid="{DD0799B4-855A-40C1-96A1-67015CA5DAF7}"/>
    <hyperlink ref="J27" r:id="rId27" display="https://forms.office.com/pages/responsepage.aspx?id=eGbDaoV3b0e-A7aLQDc0wn-412AwbU5Poy9W8btZq9VUMTMzTFRNUU9DSFBPREZCOExHUkFCRzlBTSQlQCN0PWcu" xr:uid="{ED446D88-23AE-484F-964A-F33DB5EF7315}"/>
    <hyperlink ref="J10" r:id="rId28" xr:uid="{FDC8C4E2-7994-4B7A-A11E-36E32C8BBDEF}"/>
    <hyperlink ref="J20" r:id="rId29" xr:uid="{AF49BFE3-77C1-435B-87FA-B9ABD8C58D85}"/>
    <hyperlink ref="M10" r:id="rId30" display="https://forms.office.com/Pages/ResponsePage.aspx?id=eGbDaoV3b0e-A7aLQDc0wr1htiXwwbZMvUwPEczcQq1UMkIyQlhFMFUxSzhROVdKNFZVUkRLVDBMWi4u&amp;origin=QRCode" xr:uid="{378E8B37-CBA6-4F08-91AE-0E56A41A13C2}"/>
    <hyperlink ref="M11" r:id="rId31" display="https://forms.office.com/Pages/ResponsePage.aspx?id=eGbDaoV3b0e-A7aLQDc0wuruXDF9brJDkjLe3YLbcj5UNVJCRVM4N09EVllDWTBCRUUyVEIzUlA2Sy4u&amp;origin=QRCode" xr:uid="{F91569A3-C0A8-4015-9DDB-2D61D737814A}"/>
    <hyperlink ref="M12" r:id="rId32" display="https://forms.office.com/Pages/ResponsePage.aspx?id=eGbDaoV3b0e-A7aLQDc0wr1htiXwwbZMvUwPEczcQq1URTZIQ0QzOTg2VU01VzU0SzRCTzI3UFJGSy4u&amp;origin=QRCode" xr:uid="{C3E2ACD5-895D-483B-B806-32F46852750D}"/>
  </hyperlinks>
  <printOptions horizontalCentered="1" gridLines="1"/>
  <pageMargins left="0.25" right="0.25" top="0.75" bottom="0.75" header="0.3" footer="0.3"/>
  <pageSetup scale="36" orientation="landscape" horizontalDpi="300" verticalDpi="300" r:id="rId3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55E14A2-FD24-4059-94BB-022763FAAE5B}">
          <x14:formula1>
            <xm:f>'DATA LISTS - DO NOT DELETE'!$G$2:$G$3</xm:f>
          </x14:formula1>
          <xm:sqref>E3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3">
    <tabColor rgb="FF00B0F0"/>
    <pageSetUpPr fitToPage="1"/>
  </sheetPr>
  <dimension ref="A1:T49"/>
  <sheetViews>
    <sheetView zoomScale="85" zoomScaleNormal="85" workbookViewId="0">
      <selection activeCell="H8" sqref="H8"/>
    </sheetView>
  </sheetViews>
  <sheetFormatPr defaultColWidth="8.7109375" defaultRowHeight="15"/>
  <cols>
    <col min="1" max="1" width="4.42578125" customWidth="1"/>
    <col min="2" max="2" width="26.85546875" customWidth="1"/>
    <col min="3" max="3" width="11.28515625" hidden="1" customWidth="1"/>
    <col min="4" max="4" width="8.42578125" style="182" customWidth="1"/>
    <col min="5" max="5" width="12.28515625" style="12" customWidth="1"/>
    <col min="6" max="6" width="11.42578125" style="9" customWidth="1"/>
    <col min="7" max="7" width="12.140625" style="12" customWidth="1"/>
    <col min="8" max="8" width="86.42578125" style="22" customWidth="1"/>
    <col min="9" max="13" width="5.42578125" hidden="1" customWidth="1"/>
    <col min="14" max="14" width="8" hidden="1" customWidth="1"/>
    <col min="15" max="15" width="13.28515625" customWidth="1"/>
    <col min="16" max="16" width="14.42578125" style="8" customWidth="1"/>
    <col min="17" max="18" width="18" hidden="1" customWidth="1"/>
    <col min="19" max="19" width="13.42578125" style="7" customWidth="1"/>
    <col min="20" max="20" width="12.140625" customWidth="1"/>
  </cols>
  <sheetData>
    <row r="1" spans="1:20" ht="17.25" customHeight="1">
      <c r="D1" s="181"/>
      <c r="F1" s="10"/>
      <c r="H1" s="67"/>
      <c r="I1" s="2"/>
      <c r="J1" s="2"/>
      <c r="K1" s="2"/>
      <c r="L1" s="2"/>
      <c r="M1" s="2"/>
      <c r="N1" s="2"/>
      <c r="O1" s="2"/>
      <c r="P1" s="2"/>
      <c r="Q1" s="2"/>
      <c r="R1" s="2"/>
      <c r="S1" s="6"/>
      <c r="T1" s="2"/>
    </row>
    <row r="2" spans="1:20" s="3" customFormat="1" ht="25.5" customHeight="1">
      <c r="A2" s="3" t="s">
        <v>448</v>
      </c>
      <c r="B2" s="247"/>
      <c r="C2" s="248"/>
      <c r="D2" s="411" t="s">
        <v>379</v>
      </c>
      <c r="E2" s="411"/>
      <c r="F2" s="411"/>
      <c r="G2" s="413">
        <f ca="1">TODAY()</f>
        <v>46281</v>
      </c>
      <c r="H2" s="413"/>
      <c r="I2" s="412">
        <f ca="1">TODAY()</f>
        <v>46281</v>
      </c>
      <c r="J2" s="412"/>
      <c r="K2" s="249"/>
      <c r="L2" s="248" t="s">
        <v>449</v>
      </c>
      <c r="M2" s="248"/>
      <c r="N2" s="248"/>
      <c r="O2" s="416"/>
      <c r="P2" s="417"/>
      <c r="Q2" s="417"/>
      <c r="R2" s="417"/>
      <c r="S2" s="417"/>
      <c r="T2" s="417"/>
    </row>
    <row r="3" spans="1:20">
      <c r="B3" s="414"/>
      <c r="C3" s="415"/>
      <c r="D3" s="415"/>
      <c r="E3" s="415"/>
      <c r="F3" s="415"/>
      <c r="G3" s="415"/>
      <c r="H3" s="415"/>
      <c r="I3" s="415"/>
      <c r="J3" s="415"/>
      <c r="K3" s="415"/>
      <c r="L3" s="415"/>
      <c r="M3" s="415"/>
      <c r="N3" s="415"/>
      <c r="O3" s="415"/>
      <c r="P3" s="415"/>
      <c r="Q3" s="415"/>
      <c r="R3" s="415"/>
      <c r="S3" s="415"/>
      <c r="T3" s="415"/>
    </row>
    <row r="4" spans="1:20" s="4" customFormat="1" ht="74.25" customHeight="1">
      <c r="B4" s="250" t="s">
        <v>450</v>
      </c>
      <c r="C4" s="250"/>
      <c r="D4" s="304"/>
      <c r="E4" s="198" t="s">
        <v>451</v>
      </c>
      <c r="F4" s="198" t="s">
        <v>452</v>
      </c>
      <c r="G4" s="198" t="s">
        <v>453</v>
      </c>
      <c r="H4" s="226" t="s">
        <v>454</v>
      </c>
      <c r="I4" s="251" t="s">
        <v>455</v>
      </c>
      <c r="J4" s="251" t="s">
        <v>456</v>
      </c>
      <c r="K4" s="251" t="s">
        <v>457</v>
      </c>
      <c r="L4" s="251" t="s">
        <v>458</v>
      </c>
      <c r="M4" s="251" t="s">
        <v>459</v>
      </c>
      <c r="N4" s="251" t="s">
        <v>460</v>
      </c>
      <c r="O4" s="252" t="s">
        <v>461</v>
      </c>
      <c r="P4" s="199" t="s">
        <v>462</v>
      </c>
      <c r="Q4" s="253" t="s">
        <v>463</v>
      </c>
      <c r="R4" s="253" t="s">
        <v>464</v>
      </c>
      <c r="S4" s="254" t="s">
        <v>465</v>
      </c>
      <c r="T4" s="255" t="s">
        <v>466</v>
      </c>
    </row>
    <row r="5" spans="1:20" s="5" customFormat="1" ht="25.5" customHeight="1">
      <c r="A5" s="184" t="s">
        <v>467</v>
      </c>
      <c r="B5" s="256" t="s">
        <v>468</v>
      </c>
      <c r="C5" s="256" t="s">
        <v>469</v>
      </c>
      <c r="D5" s="305" t="s">
        <v>425</v>
      </c>
      <c r="E5" s="200" t="s">
        <v>451</v>
      </c>
      <c r="F5" s="201" t="s">
        <v>470</v>
      </c>
      <c r="G5" s="201" t="s">
        <v>471</v>
      </c>
      <c r="H5" s="206" t="s">
        <v>472</v>
      </c>
      <c r="I5" s="257" t="s">
        <v>473</v>
      </c>
      <c r="J5" s="258" t="s">
        <v>474</v>
      </c>
      <c r="K5" s="258" t="s">
        <v>475</v>
      </c>
      <c r="L5" s="258" t="s">
        <v>476</v>
      </c>
      <c r="M5" s="258" t="s">
        <v>477</v>
      </c>
      <c r="N5" s="258" t="s">
        <v>478</v>
      </c>
      <c r="O5" s="202" t="s">
        <v>479</v>
      </c>
      <c r="P5" s="203" t="s">
        <v>480</v>
      </c>
      <c r="Q5" s="259" t="s">
        <v>481</v>
      </c>
      <c r="R5" s="259" t="s">
        <v>482</v>
      </c>
      <c r="S5" s="204" t="s">
        <v>483</v>
      </c>
      <c r="T5" s="260" t="s">
        <v>449</v>
      </c>
    </row>
    <row r="6" spans="1:20" s="5" customFormat="1" ht="25.5" customHeight="1">
      <c r="B6" s="313" t="s">
        <v>484</v>
      </c>
      <c r="C6" s="314"/>
      <c r="D6" s="315">
        <v>8908</v>
      </c>
      <c r="E6" s="316" t="s">
        <v>485</v>
      </c>
      <c r="F6" s="317" t="s">
        <v>405</v>
      </c>
      <c r="G6" s="317" t="s">
        <v>405</v>
      </c>
      <c r="H6" s="318" t="s">
        <v>486</v>
      </c>
      <c r="I6" s="319"/>
      <c r="J6" s="320"/>
      <c r="K6" s="320"/>
      <c r="L6" s="320"/>
      <c r="M6" s="320"/>
      <c r="N6" s="320"/>
      <c r="O6" s="321">
        <v>46316</v>
      </c>
      <c r="P6" s="322" t="s">
        <v>405</v>
      </c>
      <c r="Q6" s="323"/>
      <c r="R6" s="323"/>
      <c r="S6" s="324">
        <v>46287</v>
      </c>
      <c r="T6" s="325"/>
    </row>
    <row r="7" spans="1:20" s="5" customFormat="1" ht="25.5" customHeight="1">
      <c r="B7" s="306" t="s">
        <v>487</v>
      </c>
      <c r="C7" s="256"/>
      <c r="D7" s="305">
        <v>8909</v>
      </c>
      <c r="E7" s="200" t="s">
        <v>485</v>
      </c>
      <c r="F7" s="201" t="s">
        <v>405</v>
      </c>
      <c r="G7" s="201" t="s">
        <v>405</v>
      </c>
      <c r="H7" s="206" t="s">
        <v>488</v>
      </c>
      <c r="I7" s="257"/>
      <c r="J7" s="258"/>
      <c r="K7" s="258"/>
      <c r="L7" s="258"/>
      <c r="M7" s="258"/>
      <c r="N7" s="258"/>
      <c r="O7" s="278">
        <v>46281</v>
      </c>
      <c r="P7" s="203" t="s">
        <v>405</v>
      </c>
      <c r="Q7" s="259"/>
      <c r="R7" s="259"/>
      <c r="S7" s="276">
        <v>46284</v>
      </c>
      <c r="T7" s="279"/>
    </row>
    <row r="8" spans="1:20" s="5" customFormat="1" ht="25.5" customHeight="1">
      <c r="B8" s="313" t="s">
        <v>489</v>
      </c>
      <c r="C8" s="314"/>
      <c r="D8" s="315">
        <v>8913</v>
      </c>
      <c r="E8" s="316" t="s">
        <v>485</v>
      </c>
      <c r="F8" s="317" t="s">
        <v>405</v>
      </c>
      <c r="G8" s="317" t="s">
        <v>405</v>
      </c>
      <c r="H8" s="318" t="s">
        <v>490</v>
      </c>
      <c r="I8" s="319"/>
      <c r="J8" s="320"/>
      <c r="K8" s="320"/>
      <c r="L8" s="320"/>
      <c r="M8" s="320"/>
      <c r="N8" s="320"/>
      <c r="O8" s="321">
        <v>46281</v>
      </c>
      <c r="P8" s="322" t="s">
        <v>405</v>
      </c>
      <c r="Q8" s="323"/>
      <c r="R8" s="323"/>
      <c r="S8" s="324">
        <v>46282</v>
      </c>
      <c r="T8" s="325"/>
    </row>
    <row r="9" spans="1:20" s="5" customFormat="1" ht="25.5" customHeight="1">
      <c r="B9" s="306" t="s">
        <v>491</v>
      </c>
      <c r="C9" s="256"/>
      <c r="D9" s="305">
        <v>8914</v>
      </c>
      <c r="E9" s="200" t="s">
        <v>492</v>
      </c>
      <c r="F9" s="201" t="s">
        <v>405</v>
      </c>
      <c r="G9" s="201" t="s">
        <v>405</v>
      </c>
      <c r="H9" s="280" t="s">
        <v>493</v>
      </c>
      <c r="I9" s="257"/>
      <c r="J9" s="258"/>
      <c r="K9" s="258"/>
      <c r="L9" s="258"/>
      <c r="M9" s="258"/>
      <c r="N9" s="258"/>
      <c r="O9" s="278"/>
      <c r="P9" s="203" t="s">
        <v>405</v>
      </c>
      <c r="Q9" s="259"/>
      <c r="R9" s="259"/>
      <c r="S9" s="276">
        <v>46285</v>
      </c>
      <c r="T9" s="279"/>
    </row>
    <row r="10" spans="1:20" s="5" customFormat="1" ht="25.5" customHeight="1">
      <c r="B10" s="306" t="s">
        <v>494</v>
      </c>
      <c r="C10" s="256"/>
      <c r="D10" s="305">
        <v>8917</v>
      </c>
      <c r="E10" s="200" t="s">
        <v>485</v>
      </c>
      <c r="F10" s="201" t="s">
        <v>405</v>
      </c>
      <c r="G10" s="201" t="s">
        <v>405</v>
      </c>
      <c r="H10" s="280" t="s">
        <v>495</v>
      </c>
      <c r="I10" s="257"/>
      <c r="J10" s="258"/>
      <c r="K10" s="258"/>
      <c r="L10" s="258"/>
      <c r="M10" s="258"/>
      <c r="N10" s="258"/>
      <c r="O10" s="278">
        <v>46297</v>
      </c>
      <c r="P10" s="203" t="s">
        <v>405</v>
      </c>
      <c r="Q10" s="259"/>
      <c r="R10" s="259"/>
      <c r="S10" s="276">
        <v>46282</v>
      </c>
      <c r="T10" s="279"/>
    </row>
    <row r="11" spans="1:20" s="5" customFormat="1" ht="25.5" customHeight="1">
      <c r="B11" s="306" t="s">
        <v>181</v>
      </c>
      <c r="C11" s="256"/>
      <c r="D11" s="305">
        <v>8922</v>
      </c>
      <c r="E11" s="200" t="s">
        <v>485</v>
      </c>
      <c r="F11" s="201" t="s">
        <v>405</v>
      </c>
      <c r="G11" s="201" t="s">
        <v>405</v>
      </c>
      <c r="H11" s="280" t="s">
        <v>496</v>
      </c>
      <c r="I11" s="257"/>
      <c r="J11" s="258"/>
      <c r="K11" s="258"/>
      <c r="L11" s="258"/>
      <c r="M11" s="258"/>
      <c r="N11" s="258"/>
      <c r="O11" s="278">
        <v>46299</v>
      </c>
      <c r="P11" s="203" t="s">
        <v>405</v>
      </c>
      <c r="Q11" s="259"/>
      <c r="R11" s="259"/>
      <c r="S11" s="276">
        <v>46287</v>
      </c>
      <c r="T11" s="279"/>
    </row>
    <row r="12" spans="1:20" s="5" customFormat="1" ht="25.5" customHeight="1">
      <c r="B12" s="313" t="s">
        <v>497</v>
      </c>
      <c r="C12" s="314"/>
      <c r="D12" s="315">
        <v>8935</v>
      </c>
      <c r="E12" s="316" t="s">
        <v>485</v>
      </c>
      <c r="F12" s="317" t="s">
        <v>405</v>
      </c>
      <c r="G12" s="317" t="s">
        <v>405</v>
      </c>
      <c r="H12" s="326" t="s">
        <v>498</v>
      </c>
      <c r="I12" s="319"/>
      <c r="J12" s="320"/>
      <c r="K12" s="320"/>
      <c r="L12" s="320"/>
      <c r="M12" s="320"/>
      <c r="N12" s="320"/>
      <c r="O12" s="321">
        <v>46313</v>
      </c>
      <c r="P12" s="322" t="s">
        <v>405</v>
      </c>
      <c r="Q12" s="323"/>
      <c r="R12" s="323"/>
      <c r="S12" s="324">
        <v>46287</v>
      </c>
      <c r="T12" s="325"/>
    </row>
    <row r="13" spans="1:20" s="5" customFormat="1" ht="25.5" customHeight="1">
      <c r="B13" s="306" t="s">
        <v>254</v>
      </c>
      <c r="C13" s="256"/>
      <c r="D13" s="305">
        <v>8936</v>
      </c>
      <c r="E13" s="200" t="s">
        <v>492</v>
      </c>
      <c r="F13" s="201" t="s">
        <v>405</v>
      </c>
      <c r="G13" s="201" t="s">
        <v>405</v>
      </c>
      <c r="H13" s="280" t="s">
        <v>499</v>
      </c>
      <c r="I13" s="257"/>
      <c r="J13" s="258"/>
      <c r="K13" s="258"/>
      <c r="L13" s="258"/>
      <c r="M13" s="258"/>
      <c r="N13" s="258"/>
      <c r="O13" s="278"/>
      <c r="P13" s="203" t="s">
        <v>405</v>
      </c>
      <c r="Q13" s="259"/>
      <c r="R13" s="259"/>
      <c r="S13" s="276">
        <v>46282</v>
      </c>
      <c r="T13" s="279"/>
    </row>
    <row r="14" spans="1:20" s="5" customFormat="1" ht="25.5" customHeight="1">
      <c r="B14" s="205" t="s">
        <v>500</v>
      </c>
      <c r="C14" s="307"/>
      <c r="D14" s="305"/>
      <c r="E14" s="261"/>
      <c r="F14" s="201"/>
      <c r="G14" s="201"/>
      <c r="H14" s="206"/>
      <c r="I14" s="307"/>
      <c r="J14" s="307"/>
      <c r="K14" s="307"/>
      <c r="L14" s="307"/>
      <c r="M14" s="307"/>
      <c r="N14" s="307"/>
      <c r="O14" s="308"/>
      <c r="P14" s="309"/>
      <c r="Q14" s="307"/>
      <c r="R14" s="307"/>
      <c r="S14" s="310"/>
      <c r="T14" s="306"/>
    </row>
    <row r="15" spans="1:20" s="5" customFormat="1" ht="25.5" customHeight="1">
      <c r="A15"/>
      <c r="B15" s="157"/>
      <c r="C15"/>
      <c r="D15" s="182"/>
      <c r="E15" s="12"/>
      <c r="F15" s="15"/>
      <c r="G15" s="15"/>
      <c r="H15" s="22"/>
      <c r="I15"/>
      <c r="J15"/>
      <c r="K15"/>
      <c r="L15"/>
      <c r="M15"/>
      <c r="N15"/>
      <c r="O15" s="183"/>
      <c r="P15" s="8"/>
      <c r="Q15"/>
      <c r="R15"/>
      <c r="S15" s="7"/>
      <c r="T15" s="157"/>
    </row>
    <row r="16" spans="1:20" s="5" customFormat="1" ht="25.5" customHeight="1">
      <c r="A16"/>
      <c r="B16" s="227" t="s">
        <v>501</v>
      </c>
      <c r="C16"/>
      <c r="D16" s="182"/>
      <c r="E16" s="12"/>
      <c r="F16" s="15"/>
      <c r="G16" s="15"/>
      <c r="H16" s="22"/>
      <c r="I16"/>
      <c r="J16"/>
      <c r="K16"/>
      <c r="L16"/>
      <c r="M16"/>
      <c r="N16"/>
      <c r="O16" s="183"/>
      <c r="P16" s="8"/>
      <c r="Q16"/>
      <c r="R16"/>
      <c r="S16" s="7"/>
      <c r="T16"/>
    </row>
    <row r="17" spans="1:20" s="5" customFormat="1" ht="25.5" customHeight="1">
      <c r="A17"/>
      <c r="B17" s="228" t="s">
        <v>502</v>
      </c>
      <c r="C17"/>
      <c r="D17" s="182"/>
      <c r="E17" s="12"/>
      <c r="F17" s="9"/>
      <c r="G17" s="12"/>
      <c r="H17" s="22"/>
      <c r="I17"/>
      <c r="J17"/>
      <c r="K17"/>
      <c r="L17"/>
      <c r="M17"/>
      <c r="N17"/>
      <c r="O17" s="183"/>
      <c r="P17" s="8"/>
      <c r="Q17"/>
      <c r="R17"/>
      <c r="S17" s="7"/>
      <c r="T17"/>
    </row>
    <row r="18" spans="1:20" s="5" customFormat="1" ht="28.5" customHeight="1">
      <c r="A18"/>
      <c r="B18" s="228" t="s">
        <v>503</v>
      </c>
      <c r="C18"/>
      <c r="D18" s="182"/>
      <c r="E18" s="12"/>
      <c r="F18" s="9"/>
      <c r="G18" s="12"/>
      <c r="H18" s="22"/>
      <c r="I18"/>
      <c r="J18"/>
      <c r="K18"/>
      <c r="L18"/>
      <c r="M18"/>
      <c r="N18"/>
      <c r="O18" s="183"/>
      <c r="P18" s="8"/>
      <c r="Q18"/>
      <c r="R18"/>
      <c r="S18" s="7"/>
      <c r="T18"/>
    </row>
    <row r="19" spans="1:20" s="5" customFormat="1" ht="28.5" customHeight="1">
      <c r="A19"/>
      <c r="B19" s="228" t="s">
        <v>504</v>
      </c>
      <c r="C19"/>
      <c r="D19" s="182"/>
      <c r="E19" s="12"/>
      <c r="F19" s="9"/>
      <c r="G19" s="12"/>
      <c r="H19" s="22"/>
      <c r="I19"/>
      <c r="J19"/>
      <c r="K19"/>
      <c r="L19"/>
      <c r="M19"/>
      <c r="N19"/>
      <c r="O19" s="183"/>
      <c r="P19" s="8"/>
      <c r="Q19"/>
      <c r="R19"/>
      <c r="S19" s="7"/>
      <c r="T19"/>
    </row>
    <row r="20" spans="1:20" ht="24" customHeight="1">
      <c r="B20" s="228" t="s">
        <v>505</v>
      </c>
      <c r="O20" s="183"/>
    </row>
    <row r="21" spans="1:20" ht="24" customHeight="1">
      <c r="B21" s="228" t="s">
        <v>506</v>
      </c>
      <c r="O21" s="183"/>
    </row>
    <row r="22" spans="1:20" ht="24" customHeight="1">
      <c r="B22" s="228" t="s">
        <v>507</v>
      </c>
      <c r="O22" s="183"/>
    </row>
    <row r="23" spans="1:20" ht="24" customHeight="1">
      <c r="B23" s="228" t="s">
        <v>508</v>
      </c>
    </row>
    <row r="24" spans="1:20" ht="24" customHeight="1">
      <c r="B24" s="228" t="s">
        <v>509</v>
      </c>
    </row>
    <row r="25" spans="1:20" ht="24" customHeight="1"/>
    <row r="26" spans="1:20" ht="24" customHeight="1"/>
    <row r="27" spans="1:20" ht="24" customHeight="1">
      <c r="B27" t="s">
        <v>448</v>
      </c>
    </row>
    <row r="28" spans="1:20" ht="24" customHeight="1"/>
    <row r="29" spans="1:20" ht="24" customHeight="1"/>
    <row r="30" spans="1:20" ht="24" customHeight="1"/>
    <row r="34" hidden="1"/>
    <row r="35" hidden="1"/>
    <row r="36" hidden="1"/>
    <row r="37" hidden="1"/>
    <row r="38" hidden="1"/>
    <row r="39" hidden="1"/>
    <row r="40" hidden="1"/>
    <row r="41" hidden="1"/>
    <row r="42" hidden="1"/>
    <row r="43" hidden="1"/>
    <row r="44" hidden="1"/>
    <row r="45" hidden="1"/>
    <row r="46" hidden="1"/>
    <row r="47" hidden="1"/>
    <row r="48" hidden="1"/>
    <row r="49" hidden="1"/>
  </sheetData>
  <mergeCells count="5">
    <mergeCell ref="D2:F2"/>
    <mergeCell ref="I2:J2"/>
    <mergeCell ref="G2:H2"/>
    <mergeCell ref="B3:T3"/>
    <mergeCell ref="O2:T2"/>
  </mergeCells>
  <conditionalFormatting sqref="I2:O2 A2 A3:B3 U2:XFD3 C2:G2 A1:XFD1 A4:XFD1048576">
    <cfRule type="cellIs" dxfId="37" priority="69" operator="equal">
      <formula>"YES"</formula>
    </cfRule>
  </conditionalFormatting>
  <conditionalFormatting sqref="P1 P4:P1048576 F5:G16">
    <cfRule type="containsText" dxfId="36" priority="74" operator="containsText" text="NO">
      <formula>NOT(ISERROR(SEARCH("NO",F1)))</formula>
    </cfRule>
  </conditionalFormatting>
  <conditionalFormatting sqref="S1 S4:S1048576">
    <cfRule type="timePeriod" dxfId="35" priority="59" timePeriod="tomorrow">
      <formula>FLOOR(S1,1)=TODAY()+1</formula>
    </cfRule>
  </conditionalFormatting>
  <conditionalFormatting sqref="E6:E14">
    <cfRule type="cellIs" dxfId="34" priority="22" operator="equal">
      <formula>"FOLEY"</formula>
    </cfRule>
  </conditionalFormatting>
  <conditionalFormatting sqref="O14:O22">
    <cfRule type="timePeriod" dxfId="33" priority="20" timePeriod="yesterday">
      <formula>FLOOR(O14,1)=TODAY()-1</formula>
    </cfRule>
    <cfRule type="timePeriod" dxfId="32" priority="21" timePeriod="today">
      <formula>FLOOR(O14,1)=TODAY()</formula>
    </cfRule>
  </conditionalFormatting>
  <conditionalFormatting sqref="T1:T1048576">
    <cfRule type="cellIs" dxfId="31" priority="2" operator="equal">
      <formula>"Yes"</formula>
    </cfRule>
  </conditionalFormatting>
  <printOptions horizontalCentered="1" verticalCentered="1"/>
  <pageMargins left="0.7" right="0.7" top="0.75" bottom="0.75" header="0.3" footer="0.3"/>
  <pageSetup scale="77" orientation="landscape" horizontalDpi="300" verticalDpi="300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B03F0C8-79EE-416C-8FF4-D06C377861BE}">
          <x14:formula1>
            <xm:f>'DATA LISTS - DO NOT DELETE'!$C$2:$C$5</xm:f>
          </x14:formula1>
          <xm:sqref>F14:G16</xm:sqref>
        </x14:dataValidation>
        <x14:dataValidation type="list" allowBlank="1" showInputMessage="1" showErrorMessage="1" xr:uid="{E8D64FDA-9895-49A9-BDEF-35B3649B64C4}">
          <x14:formula1>
            <xm:f>'DATA LISTS - DO NOT DELETE'!$E$2:$E$11</xm:f>
          </x14:formula1>
          <xm:sqref>E4:E1048576</xm:sqref>
        </x14:dataValidation>
        <x14:dataValidation type="list" allowBlank="1" showInputMessage="1" showErrorMessage="1" xr:uid="{4936B166-B41F-4B83-A4DE-ECF6DF95DB61}">
          <x14:formula1>
            <xm:f>'DATA LISTS - DO NOT DELETE'!$A$2:$A$37</xm:f>
          </x14:formula1>
          <xm:sqref>D4:D1048576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669820-AC98-452F-B79F-D97EF2F8AB6B}">
  <sheetPr codeName="Sheet15">
    <pageSetUpPr fitToPage="1"/>
  </sheetPr>
  <dimension ref="A1:L46"/>
  <sheetViews>
    <sheetView zoomScale="60" zoomScaleNormal="60" workbookViewId="0">
      <selection activeCell="B53" sqref="B53"/>
    </sheetView>
  </sheetViews>
  <sheetFormatPr defaultColWidth="9.140625" defaultRowHeight="21"/>
  <cols>
    <col min="1" max="1" width="12.7109375" style="69" bestFit="1" customWidth="1"/>
    <col min="2" max="2" width="11.5703125" style="70" bestFit="1" customWidth="1"/>
    <col min="3" max="3" width="28.5703125" style="70" bestFit="1" customWidth="1"/>
    <col min="4" max="4" width="23.140625" style="70" bestFit="1" customWidth="1"/>
    <col min="5" max="5" width="17.5703125" style="70" bestFit="1" customWidth="1"/>
    <col min="6" max="6" width="13.28515625" style="70" bestFit="1" customWidth="1"/>
    <col min="7" max="7" width="26.140625" style="70" bestFit="1" customWidth="1"/>
    <col min="8" max="8" width="30.42578125" style="70" bestFit="1" customWidth="1"/>
    <col min="9" max="9" width="24" style="70" bestFit="1" customWidth="1"/>
    <col min="10" max="10" width="13.42578125" style="70" bestFit="1" customWidth="1"/>
    <col min="11" max="11" width="20.42578125" style="70" bestFit="1" customWidth="1"/>
    <col min="12" max="12" width="23.5703125" style="70" hidden="1" customWidth="1"/>
    <col min="13" max="16" width="0" style="70" hidden="1" customWidth="1"/>
    <col min="17" max="17" width="20.42578125" style="70" bestFit="1" customWidth="1"/>
    <col min="18" max="18" width="36.140625" style="70" bestFit="1" customWidth="1"/>
    <col min="19" max="19" width="32.7109375" style="70" bestFit="1" customWidth="1"/>
    <col min="20" max="20" width="17.5703125" style="70" bestFit="1" customWidth="1"/>
    <col min="21" max="21" width="13.28515625" style="70" bestFit="1" customWidth="1"/>
    <col min="22" max="16384" width="9.140625" style="70"/>
  </cols>
  <sheetData>
    <row r="1" spans="1:12" ht="34.5">
      <c r="A1" s="419"/>
      <c r="B1" s="420"/>
      <c r="C1" s="418" t="s">
        <v>510</v>
      </c>
      <c r="D1" s="418"/>
      <c r="E1" s="418"/>
      <c r="F1" s="418"/>
      <c r="G1" s="418"/>
      <c r="H1" s="418"/>
      <c r="I1" s="418"/>
      <c r="J1" s="421">
        <f ca="1">TODAY()</f>
        <v>46281</v>
      </c>
      <c r="K1" s="422"/>
      <c r="L1" s="180"/>
    </row>
    <row r="2" spans="1:12" s="67" customFormat="1" ht="42" customHeight="1">
      <c r="A2" s="197" t="s">
        <v>7</v>
      </c>
      <c r="B2" s="67" t="s">
        <v>0</v>
      </c>
      <c r="C2" s="67" t="s">
        <v>3</v>
      </c>
      <c r="D2" s="67" t="s">
        <v>8</v>
      </c>
      <c r="E2" s="67" t="s">
        <v>11</v>
      </c>
      <c r="F2" s="67" t="s">
        <v>511</v>
      </c>
      <c r="G2" s="67" t="s">
        <v>512</v>
      </c>
      <c r="H2" s="67" t="s">
        <v>513</v>
      </c>
      <c r="I2" s="67" t="s">
        <v>6</v>
      </c>
      <c r="J2" s="67" t="s">
        <v>514</v>
      </c>
      <c r="K2" s="67" t="s">
        <v>515</v>
      </c>
    </row>
    <row r="3" spans="1:12" ht="110.25" customHeight="1">
      <c r="A3" s="69">
        <v>46280</v>
      </c>
      <c r="B3" s="70">
        <v>8902</v>
      </c>
      <c r="C3" s="70" t="s">
        <v>42</v>
      </c>
      <c r="D3" s="70">
        <v>509154989</v>
      </c>
      <c r="E3" s="70" t="s">
        <v>44</v>
      </c>
      <c r="J3" s="70" t="s">
        <v>516</v>
      </c>
      <c r="K3" s="70" t="s">
        <v>448</v>
      </c>
    </row>
    <row r="4" spans="1:12" ht="41.25" customHeight="1">
      <c r="A4" s="69">
        <v>46280</v>
      </c>
      <c r="B4" s="70">
        <v>8906</v>
      </c>
      <c r="C4" s="70" t="s">
        <v>70</v>
      </c>
      <c r="D4" s="70">
        <v>12236562</v>
      </c>
      <c r="E4" s="70" t="s">
        <v>71</v>
      </c>
      <c r="H4" s="70" t="s">
        <v>517</v>
      </c>
      <c r="I4" s="70" t="s">
        <v>32</v>
      </c>
      <c r="J4" s="70" t="s">
        <v>516</v>
      </c>
      <c r="K4" s="70" t="s">
        <v>448</v>
      </c>
    </row>
    <row r="5" spans="1:12" ht="86.25" customHeight="1">
      <c r="A5" s="69">
        <v>46280</v>
      </c>
      <c r="B5" s="70">
        <v>8908</v>
      </c>
      <c r="C5" s="70" t="s">
        <v>83</v>
      </c>
      <c r="D5" s="70">
        <v>13732495</v>
      </c>
      <c r="E5" s="70" t="s">
        <v>86</v>
      </c>
      <c r="G5" s="70" t="s">
        <v>85</v>
      </c>
      <c r="H5" s="70" t="s">
        <v>518</v>
      </c>
      <c r="I5" s="70" t="s">
        <v>64</v>
      </c>
      <c r="J5" s="70" t="s">
        <v>516</v>
      </c>
      <c r="K5" s="70" t="s">
        <v>448</v>
      </c>
    </row>
    <row r="6" spans="1:12" ht="84" customHeight="1">
      <c r="A6" s="69">
        <v>46280</v>
      </c>
      <c r="B6" s="70">
        <v>8914</v>
      </c>
      <c r="C6" s="70" t="s">
        <v>131</v>
      </c>
      <c r="D6" s="70">
        <v>506850494</v>
      </c>
      <c r="E6" s="70" t="s">
        <v>133</v>
      </c>
      <c r="H6" s="70" t="s">
        <v>519</v>
      </c>
      <c r="I6" s="70" t="s">
        <v>132</v>
      </c>
      <c r="J6" s="70" t="s">
        <v>516</v>
      </c>
      <c r="K6" s="70" t="s">
        <v>448</v>
      </c>
    </row>
    <row r="7" spans="1:12" ht="26.25" customHeight="1">
      <c r="A7" s="69">
        <v>46280</v>
      </c>
      <c r="B7" s="70">
        <v>8916</v>
      </c>
      <c r="C7" s="70" t="s">
        <v>148</v>
      </c>
      <c r="D7" s="70">
        <v>511719101</v>
      </c>
      <c r="J7" s="70" t="s">
        <v>516</v>
      </c>
      <c r="K7" s="70" t="s">
        <v>448</v>
      </c>
    </row>
    <row r="8" spans="1:12" ht="42" customHeight="1">
      <c r="A8" s="69">
        <v>46280</v>
      </c>
      <c r="B8" s="70">
        <v>8925</v>
      </c>
      <c r="C8" s="70" t="s">
        <v>206</v>
      </c>
      <c r="D8" s="70">
        <v>12560588</v>
      </c>
      <c r="I8" s="70" t="s">
        <v>64</v>
      </c>
      <c r="J8" s="70" t="s">
        <v>516</v>
      </c>
      <c r="K8" s="70" t="s">
        <v>448</v>
      </c>
    </row>
    <row r="9" spans="1:12" ht="63" customHeight="1">
      <c r="A9" s="69">
        <v>46280</v>
      </c>
      <c r="B9" s="70">
        <v>8927</v>
      </c>
      <c r="C9" s="70" t="s">
        <v>220</v>
      </c>
      <c r="D9" s="70">
        <v>34297985</v>
      </c>
      <c r="I9" s="70" t="s">
        <v>64</v>
      </c>
      <c r="J9" s="70" t="s">
        <v>516</v>
      </c>
      <c r="K9" s="70" t="s">
        <v>448</v>
      </c>
    </row>
    <row r="10" spans="1:12" ht="42" customHeight="1">
      <c r="A10" s="69">
        <v>46280</v>
      </c>
      <c r="B10" s="70">
        <v>8928</v>
      </c>
      <c r="C10" s="70" t="s">
        <v>223</v>
      </c>
      <c r="D10" s="70">
        <v>502589314</v>
      </c>
      <c r="E10" s="70" t="s">
        <v>133</v>
      </c>
      <c r="H10" s="70" t="s">
        <v>517</v>
      </c>
      <c r="I10" s="70" t="s">
        <v>32</v>
      </c>
      <c r="J10" s="70" t="s">
        <v>516</v>
      </c>
      <c r="K10" s="70" t="s">
        <v>448</v>
      </c>
    </row>
    <row r="11" spans="1:12" ht="55.5" customHeight="1">
      <c r="A11" s="69">
        <v>46280</v>
      </c>
      <c r="B11" s="70">
        <v>8931</v>
      </c>
      <c r="C11" s="70" t="s">
        <v>231</v>
      </c>
      <c r="D11" s="70">
        <v>11893468</v>
      </c>
      <c r="I11" s="70" t="s">
        <v>64</v>
      </c>
      <c r="J11" s="70" t="s">
        <v>516</v>
      </c>
      <c r="K11" s="70" t="s">
        <v>448</v>
      </c>
    </row>
    <row r="12" spans="1:12" ht="84" customHeight="1"/>
    <row r="13" spans="1:12" ht="105" customHeight="1"/>
    <row r="14" spans="1:12" ht="105" customHeight="1"/>
    <row r="15" spans="1:12" ht="142.5" customHeight="1"/>
    <row r="40" spans="1:6">
      <c r="A40" s="70" t="s">
        <v>0</v>
      </c>
      <c r="B40" s="70" t="s">
        <v>375</v>
      </c>
      <c r="C40" s="70" t="s">
        <v>3</v>
      </c>
      <c r="D40" s="70" t="s">
        <v>10</v>
      </c>
      <c r="E40" s="70" t="s">
        <v>376</v>
      </c>
      <c r="F40" s="70" t="s">
        <v>377</v>
      </c>
    </row>
    <row r="41" spans="1:6">
      <c r="A41" t="s">
        <v>28</v>
      </c>
      <c r="B41" t="s">
        <v>270</v>
      </c>
      <c r="C41" t="s">
        <v>30</v>
      </c>
      <c r="D41" t="s">
        <v>33</v>
      </c>
      <c r="E41" t="s">
        <v>270</v>
      </c>
      <c r="F41" t="s">
        <v>270</v>
      </c>
    </row>
    <row r="42" spans="1:6">
      <c r="A42" t="s">
        <v>62</v>
      </c>
      <c r="B42" t="s">
        <v>270</v>
      </c>
      <c r="C42" t="s">
        <v>63</v>
      </c>
      <c r="D42" t="s">
        <v>65</v>
      </c>
      <c r="E42" t="s">
        <v>270</v>
      </c>
      <c r="F42" t="s">
        <v>270</v>
      </c>
    </row>
    <row r="43" spans="1:6">
      <c r="A43" t="s">
        <v>151</v>
      </c>
      <c r="B43" t="s">
        <v>270</v>
      </c>
      <c r="C43" t="s">
        <v>152</v>
      </c>
      <c r="D43" t="s">
        <v>155</v>
      </c>
      <c r="E43" t="s">
        <v>270</v>
      </c>
      <c r="F43" t="s">
        <v>270</v>
      </c>
    </row>
    <row r="44" spans="1:6">
      <c r="A44" t="s">
        <v>161</v>
      </c>
      <c r="B44" t="s">
        <v>270</v>
      </c>
      <c r="C44" t="s">
        <v>162</v>
      </c>
      <c r="D44" t="s">
        <v>164</v>
      </c>
      <c r="E44" t="s">
        <v>270</v>
      </c>
      <c r="F44" t="s">
        <v>270</v>
      </c>
    </row>
    <row r="45" spans="1:6">
      <c r="A45" t="s">
        <v>188</v>
      </c>
      <c r="B45" t="s">
        <v>270</v>
      </c>
      <c r="C45" t="s">
        <v>189</v>
      </c>
      <c r="D45" t="s">
        <v>191</v>
      </c>
      <c r="E45" t="s">
        <v>270</v>
      </c>
      <c r="F45" t="s">
        <v>270</v>
      </c>
    </row>
    <row r="46" spans="1:6">
      <c r="A46" t="s">
        <v>198</v>
      </c>
      <c r="B46" t="s">
        <v>270</v>
      </c>
      <c r="C46" t="s">
        <v>199</v>
      </c>
      <c r="D46" t="s">
        <v>201</v>
      </c>
      <c r="E46" t="s">
        <v>270</v>
      </c>
      <c r="F46" t="s">
        <v>270</v>
      </c>
    </row>
  </sheetData>
  <mergeCells count="3">
    <mergeCell ref="C1:I1"/>
    <mergeCell ref="A1:B1"/>
    <mergeCell ref="J1:K1"/>
  </mergeCells>
  <pageMargins left="0.25" right="0.25" top="0.75" bottom="0.75" header="0.3" footer="0.3"/>
  <pageSetup scale="39" orientation="portrait" r:id="rId1"/>
  <headerFooter>
    <oddHeader>&amp;LWT8 DC LIST&amp;CUPDATED: &amp;D- &amp;T</oddHead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9BB6E5-301C-4A4F-87E7-26BB1C62648A}">
  <sheetPr codeName="Sheet14"/>
  <dimension ref="A1:O923"/>
  <sheetViews>
    <sheetView zoomScale="90" zoomScaleNormal="90" workbookViewId="0">
      <selection activeCell="A3" sqref="A3:J36"/>
    </sheetView>
  </sheetViews>
  <sheetFormatPr defaultColWidth="8.85546875" defaultRowHeight="15.75"/>
  <cols>
    <col min="1" max="1" width="8.5703125" style="188" customWidth="1"/>
    <col min="2" max="2" width="18.7109375" style="188" bestFit="1" customWidth="1"/>
    <col min="3" max="3" width="17.42578125" style="191" customWidth="1"/>
    <col min="4" max="4" width="84.7109375" style="191" customWidth="1"/>
    <col min="5" max="5" width="30.7109375" style="191" customWidth="1"/>
    <col min="6" max="6" width="11.42578125" style="191" bestFit="1" customWidth="1"/>
    <col min="7" max="7" width="22.7109375" style="191" hidden="1" customWidth="1"/>
    <col min="8" max="8" width="10.7109375" style="191" hidden="1" customWidth="1"/>
    <col min="9" max="9" width="15.28515625" style="188" bestFit="1" customWidth="1"/>
    <col min="10" max="10" width="7" style="192" customWidth="1"/>
    <col min="11" max="11" width="7.7109375" style="192" hidden="1" customWidth="1"/>
    <col min="12" max="12" width="10.7109375" style="186" hidden="1" customWidth="1"/>
    <col min="13" max="13" width="0" style="186" hidden="1" customWidth="1"/>
    <col min="14" max="14" width="13.5703125" style="186" hidden="1" customWidth="1"/>
    <col min="15" max="15" width="22.28515625" style="186" hidden="1" customWidth="1"/>
    <col min="16" max="17" width="8.85546875" style="186"/>
    <col min="18" max="18" width="12.85546875" style="186" bestFit="1" customWidth="1"/>
    <col min="19" max="16384" width="8.85546875" style="186"/>
  </cols>
  <sheetData>
    <row r="1" spans="1:11">
      <c r="A1" s="423" t="s">
        <v>521</v>
      </c>
      <c r="B1" s="423"/>
      <c r="C1" s="423"/>
      <c r="D1" s="423"/>
      <c r="E1" s="423"/>
      <c r="F1" s="423"/>
      <c r="G1" s="423"/>
      <c r="H1" s="423"/>
      <c r="I1" s="423"/>
      <c r="J1" s="423"/>
      <c r="K1" s="185"/>
    </row>
    <row r="2" spans="1:11">
      <c r="A2" s="424"/>
      <c r="B2" s="424"/>
      <c r="C2" s="425">
        <f ca="1">NOW()</f>
        <v>46281.080478703705</v>
      </c>
      <c r="D2" s="426"/>
      <c r="E2" s="427" t="s">
        <v>522</v>
      </c>
      <c r="F2" s="427"/>
      <c r="G2" s="427"/>
      <c r="H2" s="427"/>
      <c r="I2" s="427"/>
      <c r="J2" s="427"/>
      <c r="K2" s="187"/>
    </row>
    <row r="3" spans="1:11" s="196" customFormat="1" ht="31.5" customHeight="1">
      <c r="A3" s="13" t="s">
        <v>0</v>
      </c>
      <c r="B3" s="13" t="s">
        <v>3</v>
      </c>
      <c r="C3" s="13" t="s">
        <v>8</v>
      </c>
      <c r="D3" s="13" t="s">
        <v>5</v>
      </c>
      <c r="E3" s="13" t="s">
        <v>523</v>
      </c>
      <c r="F3" s="13" t="s">
        <v>10</v>
      </c>
      <c r="G3" s="13" t="s">
        <v>268</v>
      </c>
      <c r="H3" s="13" t="s">
        <v>269</v>
      </c>
      <c r="I3" s="13" t="s">
        <v>6</v>
      </c>
      <c r="J3" s="195" t="s">
        <v>7</v>
      </c>
    </row>
    <row r="4" spans="1:11" ht="47.25" customHeight="1">
      <c r="A4" s="188" t="s">
        <v>28</v>
      </c>
      <c r="B4" s="188" t="s">
        <v>30</v>
      </c>
      <c r="C4" s="193">
        <v>12951010</v>
      </c>
      <c r="D4" s="189" t="s">
        <v>536</v>
      </c>
      <c r="E4" s="189"/>
      <c r="F4" s="189" t="s">
        <v>33</v>
      </c>
      <c r="G4" s="189"/>
      <c r="H4" s="189"/>
      <c r="I4" s="188" t="s">
        <v>32</v>
      </c>
      <c r="J4" s="190">
        <v>46282</v>
      </c>
      <c r="K4" s="186"/>
    </row>
    <row r="5" spans="1:11" ht="31.5" customHeight="1">
      <c r="A5" s="188" t="s">
        <v>41</v>
      </c>
      <c r="B5" s="188" t="s">
        <v>42</v>
      </c>
      <c r="C5" s="193">
        <v>509154989</v>
      </c>
      <c r="D5" s="189" t="s">
        <v>537</v>
      </c>
      <c r="E5" s="189"/>
      <c r="F5" s="189"/>
      <c r="G5" s="189"/>
      <c r="H5" s="189"/>
      <c r="J5" s="190">
        <v>46281</v>
      </c>
      <c r="K5" s="186"/>
    </row>
    <row r="6" spans="1:11" ht="31.5" customHeight="1">
      <c r="A6" s="188" t="s">
        <v>46</v>
      </c>
      <c r="B6" s="188" t="s">
        <v>47</v>
      </c>
      <c r="C6" s="193">
        <v>512344610</v>
      </c>
      <c r="D6" s="189" t="s">
        <v>49</v>
      </c>
      <c r="E6" s="189"/>
      <c r="F6" s="189"/>
      <c r="G6" s="189"/>
      <c r="H6" s="189"/>
      <c r="J6" s="190">
        <v>46282</v>
      </c>
      <c r="K6" s="186"/>
    </row>
    <row r="7" spans="1:11" ht="31.5" customHeight="1">
      <c r="A7" s="188" t="s">
        <v>56</v>
      </c>
      <c r="B7" s="188" t="s">
        <v>57</v>
      </c>
      <c r="C7" s="193">
        <v>11851011</v>
      </c>
      <c r="D7" s="189" t="s">
        <v>538</v>
      </c>
      <c r="E7" s="189"/>
      <c r="F7" s="189"/>
      <c r="G7" s="189"/>
      <c r="H7" s="189"/>
      <c r="J7" s="190">
        <v>46285</v>
      </c>
      <c r="K7" s="186"/>
    </row>
    <row r="8" spans="1:11" ht="31.5" customHeight="1">
      <c r="A8" s="188" t="s">
        <v>62</v>
      </c>
      <c r="B8" s="188" t="s">
        <v>63</v>
      </c>
      <c r="C8" s="193">
        <v>512587344</v>
      </c>
      <c r="D8" s="189" t="s">
        <v>539</v>
      </c>
      <c r="E8" s="189"/>
      <c r="F8" s="189" t="s">
        <v>65</v>
      </c>
      <c r="G8" s="189"/>
      <c r="H8" s="189"/>
      <c r="I8" s="188" t="s">
        <v>64</v>
      </c>
      <c r="J8" s="190">
        <v>46283</v>
      </c>
      <c r="K8" s="186"/>
    </row>
    <row r="9" spans="1:11" ht="41.25" customHeight="1">
      <c r="A9" s="188" t="s">
        <v>74</v>
      </c>
      <c r="B9" s="194" t="s">
        <v>75</v>
      </c>
      <c r="C9" s="193">
        <v>508681663</v>
      </c>
      <c r="D9" s="189" t="s">
        <v>540</v>
      </c>
      <c r="E9" s="189"/>
      <c r="F9" s="189"/>
      <c r="G9" s="189"/>
      <c r="H9" s="189"/>
      <c r="I9" s="188" t="s">
        <v>76</v>
      </c>
      <c r="J9" s="190">
        <v>46290</v>
      </c>
      <c r="K9" s="186"/>
    </row>
    <row r="10" spans="1:11" ht="31.5" customHeight="1">
      <c r="A10" s="188" t="s">
        <v>82</v>
      </c>
      <c r="B10" s="188" t="s">
        <v>83</v>
      </c>
      <c r="C10" s="193">
        <v>13732495</v>
      </c>
      <c r="D10" s="189" t="s">
        <v>84</v>
      </c>
      <c r="E10" s="189" t="s">
        <v>85</v>
      </c>
      <c r="F10" s="189"/>
      <c r="G10" s="189"/>
      <c r="H10" s="189"/>
      <c r="I10" s="188" t="s">
        <v>64</v>
      </c>
      <c r="J10" s="190">
        <v>46281</v>
      </c>
      <c r="K10" s="186"/>
    </row>
    <row r="11" spans="1:11" ht="31.5" customHeight="1">
      <c r="A11" s="188" t="s">
        <v>93</v>
      </c>
      <c r="B11" s="188" t="s">
        <v>94</v>
      </c>
      <c r="C11" s="193">
        <v>502271792</v>
      </c>
      <c r="D11" s="189" t="s">
        <v>541</v>
      </c>
      <c r="E11" s="189" t="s">
        <v>95</v>
      </c>
      <c r="F11" s="189"/>
      <c r="G11" s="189"/>
      <c r="H11" s="189"/>
      <c r="I11" s="188" t="s">
        <v>32</v>
      </c>
      <c r="J11" s="190">
        <v>46283</v>
      </c>
      <c r="K11" s="186"/>
    </row>
    <row r="12" spans="1:11" ht="31.5" customHeight="1">
      <c r="A12" s="188" t="s">
        <v>103</v>
      </c>
      <c r="B12" s="188" t="s">
        <v>104</v>
      </c>
      <c r="C12" s="193">
        <v>512407341</v>
      </c>
      <c r="D12" s="189" t="s">
        <v>105</v>
      </c>
      <c r="E12" s="189" t="s">
        <v>106</v>
      </c>
      <c r="F12" s="189"/>
      <c r="G12" s="189"/>
      <c r="H12" s="189"/>
      <c r="I12" s="188" t="s">
        <v>76</v>
      </c>
      <c r="J12" s="190">
        <v>46286</v>
      </c>
      <c r="K12" s="186"/>
    </row>
    <row r="13" spans="1:11" ht="31.5" customHeight="1">
      <c r="A13" s="188" t="s">
        <v>113</v>
      </c>
      <c r="B13" s="188" t="s">
        <v>114</v>
      </c>
      <c r="C13" s="193">
        <v>14123506</v>
      </c>
      <c r="D13" s="189" t="s">
        <v>115</v>
      </c>
      <c r="E13" s="189"/>
      <c r="F13" s="189"/>
      <c r="G13" s="189"/>
      <c r="H13" s="189"/>
      <c r="I13" s="188" t="s">
        <v>32</v>
      </c>
      <c r="J13" s="190">
        <v>46281</v>
      </c>
      <c r="K13" s="186"/>
    </row>
    <row r="14" spans="1:11" ht="31.5" customHeight="1">
      <c r="A14" s="188" t="s">
        <v>123</v>
      </c>
      <c r="B14" s="188" t="s">
        <v>124</v>
      </c>
      <c r="C14" s="193">
        <v>36874834</v>
      </c>
      <c r="D14" s="189" t="s">
        <v>125</v>
      </c>
      <c r="E14" s="189"/>
      <c r="F14" s="189"/>
      <c r="G14" s="189"/>
      <c r="H14" s="189"/>
      <c r="I14" s="188" t="s">
        <v>32</v>
      </c>
      <c r="J14" s="190">
        <v>46289</v>
      </c>
      <c r="K14" s="186"/>
    </row>
    <row r="15" spans="1:11" ht="47.25" customHeight="1">
      <c r="A15" s="188" t="s">
        <v>130</v>
      </c>
      <c r="B15" s="188" t="s">
        <v>131</v>
      </c>
      <c r="C15" s="193">
        <v>506850494</v>
      </c>
      <c r="D15" s="189" t="s">
        <v>542</v>
      </c>
      <c r="E15" s="189"/>
      <c r="F15" s="189"/>
      <c r="G15" s="189"/>
      <c r="H15" s="189"/>
      <c r="I15" s="188" t="s">
        <v>132</v>
      </c>
      <c r="J15" s="190">
        <v>46283</v>
      </c>
      <c r="K15" s="186"/>
    </row>
    <row r="16" spans="1:11" ht="63" customHeight="1">
      <c r="A16" s="188" t="s">
        <v>138</v>
      </c>
      <c r="B16" s="188" t="s">
        <v>139</v>
      </c>
      <c r="C16" s="193">
        <v>14776259</v>
      </c>
      <c r="D16" s="189" t="s">
        <v>140</v>
      </c>
      <c r="E16" s="189"/>
      <c r="F16" s="189"/>
      <c r="G16" s="189"/>
      <c r="H16" s="189"/>
      <c r="I16" s="188" t="s">
        <v>132</v>
      </c>
      <c r="J16" s="190">
        <v>46281</v>
      </c>
      <c r="K16" s="186"/>
    </row>
    <row r="17" spans="1:11" ht="15.75" customHeight="1">
      <c r="A17" s="188" t="s">
        <v>147</v>
      </c>
      <c r="B17" s="188" t="s">
        <v>148</v>
      </c>
      <c r="C17" s="193">
        <v>511719101</v>
      </c>
      <c r="D17" s="189" t="s">
        <v>149</v>
      </c>
      <c r="E17" s="189"/>
      <c r="F17" s="189"/>
      <c r="G17" s="189"/>
      <c r="H17" s="189"/>
      <c r="J17" s="190">
        <v>46280</v>
      </c>
      <c r="K17" s="186"/>
    </row>
    <row r="18" spans="1:11" ht="31.5" customHeight="1">
      <c r="A18" s="188" t="s">
        <v>151</v>
      </c>
      <c r="B18" s="188" t="s">
        <v>152</v>
      </c>
      <c r="C18" s="193">
        <v>42444008</v>
      </c>
      <c r="D18" s="189" t="s">
        <v>153</v>
      </c>
      <c r="E18" s="189" t="s">
        <v>154</v>
      </c>
      <c r="F18" s="189" t="s">
        <v>155</v>
      </c>
      <c r="G18" s="189"/>
      <c r="H18" s="189"/>
      <c r="I18" s="188" t="s">
        <v>32</v>
      </c>
      <c r="J18" s="190">
        <v>46283</v>
      </c>
      <c r="K18" s="186"/>
    </row>
    <row r="19" spans="1:11" ht="94.5" customHeight="1">
      <c r="A19" s="188" t="s">
        <v>161</v>
      </c>
      <c r="B19" s="188" t="s">
        <v>162</v>
      </c>
      <c r="C19" s="193">
        <v>11719063</v>
      </c>
      <c r="D19" s="189" t="s">
        <v>163</v>
      </c>
      <c r="E19" s="189"/>
      <c r="F19" s="189" t="s">
        <v>164</v>
      </c>
      <c r="G19" s="189"/>
      <c r="H19" s="189"/>
      <c r="I19" s="188" t="s">
        <v>64</v>
      </c>
      <c r="J19" s="190">
        <v>46281</v>
      </c>
      <c r="K19" s="186"/>
    </row>
    <row r="20" spans="1:11" ht="57.75" customHeight="1">
      <c r="A20" s="188" t="s">
        <v>169</v>
      </c>
      <c r="B20" s="188" t="s">
        <v>170</v>
      </c>
      <c r="C20" s="193">
        <v>32570424</v>
      </c>
      <c r="D20" s="189" t="s">
        <v>171</v>
      </c>
      <c r="E20" s="189"/>
      <c r="F20" s="189"/>
      <c r="G20" s="189"/>
      <c r="H20" s="189"/>
      <c r="I20" s="188" t="s">
        <v>32</v>
      </c>
      <c r="J20" s="190">
        <v>46282</v>
      </c>
      <c r="K20" s="186"/>
    </row>
    <row r="21" spans="1:11" ht="31.5" customHeight="1">
      <c r="A21" s="188" t="s">
        <v>174</v>
      </c>
      <c r="B21" s="188" t="s">
        <v>175</v>
      </c>
      <c r="C21" s="193">
        <v>511042441</v>
      </c>
      <c r="D21" s="189" t="s">
        <v>176</v>
      </c>
      <c r="E21" s="189"/>
      <c r="F21" s="189"/>
      <c r="G21" s="189"/>
      <c r="H21" s="189"/>
      <c r="I21" s="188" t="s">
        <v>32</v>
      </c>
      <c r="J21" s="190">
        <v>46282</v>
      </c>
      <c r="K21" s="186"/>
    </row>
    <row r="22" spans="1:11" ht="31.5" customHeight="1">
      <c r="A22" s="188" t="s">
        <v>180</v>
      </c>
      <c r="B22" s="188" t="s">
        <v>181</v>
      </c>
      <c r="C22" s="193">
        <v>36563806</v>
      </c>
      <c r="D22" s="189" t="s">
        <v>182</v>
      </c>
      <c r="E22" s="189"/>
      <c r="F22" s="189"/>
      <c r="G22" s="189"/>
      <c r="H22" s="189"/>
      <c r="I22" s="188" t="s">
        <v>32</v>
      </c>
      <c r="J22" s="190">
        <v>46281</v>
      </c>
      <c r="K22" s="186"/>
    </row>
    <row r="23" spans="1:11" ht="31.5" customHeight="1">
      <c r="A23" s="188" t="s">
        <v>188</v>
      </c>
      <c r="B23" s="188" t="s">
        <v>189</v>
      </c>
      <c r="C23" s="193">
        <v>15068801</v>
      </c>
      <c r="D23" s="189" t="s">
        <v>190</v>
      </c>
      <c r="E23" s="189"/>
      <c r="F23" s="189" t="s">
        <v>191</v>
      </c>
      <c r="G23" s="189"/>
      <c r="H23" s="189"/>
      <c r="I23" s="188" t="s">
        <v>64</v>
      </c>
      <c r="J23" s="190">
        <v>46282</v>
      </c>
      <c r="K23" s="186"/>
    </row>
    <row r="24" spans="1:11" ht="31.5" customHeight="1">
      <c r="A24" s="188" t="s">
        <v>198</v>
      </c>
      <c r="B24" s="188" t="s">
        <v>199</v>
      </c>
      <c r="C24" s="193">
        <v>13669111</v>
      </c>
      <c r="D24" s="189" t="s">
        <v>200</v>
      </c>
      <c r="E24" s="189"/>
      <c r="F24" s="189" t="s">
        <v>201</v>
      </c>
      <c r="G24" s="189"/>
      <c r="H24" s="189"/>
      <c r="I24" s="188" t="s">
        <v>64</v>
      </c>
      <c r="J24" s="190">
        <v>46282</v>
      </c>
      <c r="K24" s="186"/>
    </row>
    <row r="25" spans="1:11" ht="31.5" customHeight="1">
      <c r="A25" s="188" t="s">
        <v>205</v>
      </c>
      <c r="B25" s="188" t="s">
        <v>206</v>
      </c>
      <c r="C25" s="193">
        <v>12560588</v>
      </c>
      <c r="D25" s="189" t="s">
        <v>207</v>
      </c>
      <c r="E25" s="189"/>
      <c r="F25" s="189"/>
      <c r="G25" s="189"/>
      <c r="H25" s="189"/>
      <c r="I25" s="188" t="s">
        <v>64</v>
      </c>
      <c r="J25" s="190">
        <v>46280</v>
      </c>
      <c r="K25" s="186"/>
    </row>
    <row r="26" spans="1:11" ht="31.5" customHeight="1">
      <c r="A26" s="188" t="s">
        <v>212</v>
      </c>
      <c r="B26" s="188" t="s">
        <v>213</v>
      </c>
      <c r="C26" s="193">
        <v>21524149</v>
      </c>
      <c r="D26" s="189" t="s">
        <v>214</v>
      </c>
      <c r="E26" s="189"/>
      <c r="F26" s="189"/>
      <c r="G26" s="189"/>
      <c r="H26" s="189"/>
      <c r="I26" s="188" t="s">
        <v>32</v>
      </c>
      <c r="J26" s="190">
        <v>46281</v>
      </c>
      <c r="K26" s="186"/>
    </row>
    <row r="27" spans="1:11" ht="31.5" customHeight="1">
      <c r="A27" s="188" t="s">
        <v>219</v>
      </c>
      <c r="B27" s="188" t="s">
        <v>543</v>
      </c>
      <c r="C27" s="193">
        <v>12366840</v>
      </c>
      <c r="D27" s="189" t="s">
        <v>544</v>
      </c>
      <c r="E27" s="189"/>
      <c r="F27" s="189"/>
      <c r="G27" s="189"/>
      <c r="H27" s="189"/>
      <c r="J27" s="190">
        <v>46282</v>
      </c>
      <c r="K27" s="186"/>
    </row>
    <row r="28" spans="1:11" ht="31.5" customHeight="1">
      <c r="A28" s="188" t="s">
        <v>222</v>
      </c>
      <c r="B28" s="188" t="s">
        <v>545</v>
      </c>
      <c r="C28" s="193">
        <v>42115399</v>
      </c>
      <c r="D28" s="189" t="s">
        <v>546</v>
      </c>
      <c r="E28" s="189"/>
      <c r="F28" s="189"/>
      <c r="G28" s="189"/>
      <c r="H28" s="189"/>
      <c r="J28" s="190">
        <v>46283</v>
      </c>
      <c r="K28" s="186"/>
    </row>
    <row r="29" spans="1:11" ht="31.5" customHeight="1">
      <c r="A29" s="188" t="s">
        <v>225</v>
      </c>
      <c r="B29" s="188" t="s">
        <v>547</v>
      </c>
      <c r="C29" s="193">
        <v>6957750</v>
      </c>
      <c r="D29" s="189" t="s">
        <v>548</v>
      </c>
      <c r="E29" s="189"/>
      <c r="F29" s="189"/>
      <c r="G29" s="189"/>
      <c r="H29" s="189"/>
      <c r="J29" s="190">
        <v>46281</v>
      </c>
      <c r="K29" s="186"/>
    </row>
    <row r="30" spans="1:11" ht="27.75" customHeight="1">
      <c r="A30" s="188" t="s">
        <v>226</v>
      </c>
      <c r="B30" s="188" t="s">
        <v>227</v>
      </c>
      <c r="C30" s="193">
        <v>12035750</v>
      </c>
      <c r="D30" s="189" t="s">
        <v>549</v>
      </c>
      <c r="E30" s="189"/>
      <c r="F30" s="189"/>
      <c r="G30" s="189"/>
      <c r="H30" s="189"/>
      <c r="I30" s="188" t="s">
        <v>132</v>
      </c>
      <c r="J30" s="190">
        <v>46284</v>
      </c>
      <c r="K30" s="186"/>
    </row>
    <row r="31" spans="1:11" ht="31.5" customHeight="1">
      <c r="A31" s="188" t="s">
        <v>230</v>
      </c>
      <c r="B31" s="188" t="s">
        <v>550</v>
      </c>
      <c r="C31" s="193">
        <v>15064182</v>
      </c>
      <c r="D31" s="189" t="s">
        <v>551</v>
      </c>
      <c r="E31" s="189"/>
      <c r="F31" s="189"/>
      <c r="G31" s="189"/>
      <c r="H31" s="189"/>
      <c r="J31" s="190">
        <v>46283</v>
      </c>
      <c r="K31" s="186"/>
    </row>
    <row r="32" spans="1:11" ht="15.75" customHeight="1">
      <c r="A32" s="188" t="s">
        <v>232</v>
      </c>
      <c r="B32" s="188" t="s">
        <v>233</v>
      </c>
      <c r="C32" s="193">
        <v>34556648</v>
      </c>
      <c r="D32" s="189" t="s">
        <v>235</v>
      </c>
      <c r="E32" s="189"/>
      <c r="F32" s="189"/>
      <c r="G32" s="189"/>
      <c r="H32" s="189"/>
      <c r="I32" s="188" t="s">
        <v>32</v>
      </c>
      <c r="J32" s="190">
        <v>46284</v>
      </c>
      <c r="K32" s="186"/>
    </row>
    <row r="33" spans="1:11" ht="42.75" customHeight="1">
      <c r="A33" s="188" t="s">
        <v>238</v>
      </c>
      <c r="B33" s="188" t="s">
        <v>239</v>
      </c>
      <c r="C33" s="193">
        <v>6459589</v>
      </c>
      <c r="D33" s="189" t="s">
        <v>240</v>
      </c>
      <c r="E33" s="189"/>
      <c r="F33" s="189"/>
      <c r="G33" s="189"/>
      <c r="H33" s="189"/>
      <c r="I33" s="188" t="s">
        <v>64</v>
      </c>
      <c r="J33" s="190">
        <v>46288</v>
      </c>
      <c r="K33" s="186"/>
    </row>
    <row r="34" spans="1:11" ht="31.5" customHeight="1">
      <c r="A34" s="188" t="s">
        <v>241</v>
      </c>
      <c r="B34" s="188" t="s">
        <v>242</v>
      </c>
      <c r="C34" s="193">
        <v>502295812</v>
      </c>
      <c r="D34" s="189" t="s">
        <v>243</v>
      </c>
      <c r="E34" s="189"/>
      <c r="F34" s="189"/>
      <c r="G34" s="189"/>
      <c r="H34" s="189"/>
      <c r="I34" s="188" t="s">
        <v>64</v>
      </c>
      <c r="J34" s="190">
        <v>46283</v>
      </c>
      <c r="K34" s="186"/>
    </row>
    <row r="35" spans="1:11" ht="31.5" customHeight="1">
      <c r="A35" s="188" t="s">
        <v>246</v>
      </c>
      <c r="B35" s="188" t="s">
        <v>247</v>
      </c>
      <c r="C35" s="193">
        <v>502118084</v>
      </c>
      <c r="D35" s="189" t="s">
        <v>248</v>
      </c>
      <c r="E35" s="189"/>
      <c r="F35" s="189"/>
      <c r="G35" s="189"/>
      <c r="H35" s="189"/>
      <c r="I35" s="188" t="s">
        <v>32</v>
      </c>
      <c r="J35" s="190">
        <v>46282</v>
      </c>
      <c r="K35" s="186"/>
    </row>
    <row r="36" spans="1:11" ht="31.5" customHeight="1">
      <c r="A36" s="188" t="s">
        <v>253</v>
      </c>
      <c r="B36" s="188" t="s">
        <v>254</v>
      </c>
      <c r="C36" s="193">
        <v>21058187</v>
      </c>
      <c r="D36" s="189" t="s">
        <v>255</v>
      </c>
      <c r="E36" s="189"/>
      <c r="F36" s="189"/>
      <c r="G36" s="189"/>
      <c r="H36" s="189"/>
      <c r="I36" s="188" t="s">
        <v>32</v>
      </c>
      <c r="J36" s="190">
        <v>46282</v>
      </c>
      <c r="K36" s="186"/>
    </row>
    <row r="37" spans="1:11" ht="31.5" customHeight="1">
      <c r="K37" s="186"/>
    </row>
    <row r="38" spans="1:11" ht="47.25" customHeight="1">
      <c r="K38" s="186"/>
    </row>
    <row r="39" spans="1:11" ht="31.5" customHeight="1">
      <c r="K39" s="186"/>
    </row>
    <row r="40" spans="1:11" ht="15.95" customHeight="1"/>
    <row r="41" spans="1:11" ht="31.5" customHeight="1"/>
    <row r="42" spans="1:11" ht="15.95" customHeight="1"/>
    <row r="43" spans="1:11" ht="15.95" customHeight="1"/>
    <row r="44" spans="1:11" ht="15.95" customHeight="1"/>
    <row r="45" spans="1:11" ht="15.95" customHeight="1"/>
    <row r="46" spans="1:11" ht="15.95" customHeight="1"/>
    <row r="47" spans="1:11" ht="15.95" customHeight="1"/>
    <row r="48" spans="1:11" ht="15.95" customHeight="1"/>
    <row r="49" ht="15.95" customHeight="1"/>
    <row r="50" ht="15.95" customHeight="1"/>
    <row r="51" ht="15.95" customHeight="1"/>
    <row r="52" ht="15.95" customHeight="1"/>
    <row r="53" ht="15.95" customHeight="1"/>
    <row r="54" ht="15.95" customHeight="1"/>
    <row r="55" ht="15.95" customHeight="1"/>
    <row r="56" ht="15.95" customHeight="1"/>
    <row r="57" ht="15.95" customHeight="1"/>
    <row r="58" ht="15.95" customHeight="1"/>
    <row r="59" ht="15.95" customHeight="1"/>
    <row r="60" ht="15.95" customHeight="1"/>
    <row r="61" ht="15.95" customHeight="1"/>
    <row r="62" ht="15.95" customHeight="1"/>
    <row r="63" ht="15.95" customHeight="1"/>
    <row r="64" ht="15.95" customHeight="1"/>
    <row r="65" ht="15.95" customHeight="1"/>
    <row r="66" ht="15.95" customHeight="1"/>
    <row r="67" ht="15.95" customHeight="1"/>
    <row r="68" ht="15.95" customHeight="1"/>
    <row r="69" ht="15.95" customHeight="1"/>
    <row r="70" ht="15.95" customHeight="1"/>
    <row r="71" ht="15.95" customHeight="1"/>
    <row r="72" ht="15.95" customHeight="1"/>
    <row r="73" ht="15.95" customHeight="1"/>
    <row r="74" ht="15.95" customHeight="1"/>
    <row r="75" ht="15.95" customHeight="1"/>
    <row r="76" ht="15.95" customHeight="1"/>
    <row r="77" ht="15.95" customHeight="1"/>
    <row r="78" ht="15.95" customHeight="1"/>
    <row r="79" ht="15.95" customHeight="1"/>
    <row r="80" ht="15.95" customHeight="1"/>
    <row r="81" ht="15.95" customHeight="1"/>
    <row r="82" ht="15.95" customHeight="1"/>
    <row r="83" ht="15.95" customHeight="1"/>
    <row r="84" ht="15.95" customHeight="1"/>
    <row r="85" ht="15.95" customHeight="1"/>
    <row r="86" ht="15.95" customHeight="1"/>
    <row r="87" ht="15.95" customHeight="1"/>
    <row r="88" ht="15.95" customHeight="1"/>
    <row r="89" ht="15.95" customHeight="1"/>
    <row r="90" ht="15.95" customHeight="1"/>
    <row r="91" ht="15.95" customHeight="1"/>
    <row r="92" ht="15.95" customHeight="1"/>
    <row r="93" ht="15.95" customHeight="1"/>
    <row r="94" ht="15.95" customHeight="1"/>
    <row r="95" ht="15.95" customHeight="1"/>
    <row r="96" ht="15.95" customHeight="1"/>
    <row r="97" ht="15.95" customHeight="1"/>
    <row r="98" ht="15.95" customHeight="1"/>
    <row r="99" ht="15.95" customHeight="1"/>
    <row r="100" ht="15.95" customHeight="1"/>
    <row r="101" ht="15.95" customHeight="1"/>
    <row r="102" ht="15.95" customHeight="1"/>
    <row r="103" ht="15.95" customHeight="1"/>
    <row r="104" ht="15.95" customHeight="1"/>
    <row r="105" ht="15.95" customHeight="1"/>
    <row r="106" ht="15.95" customHeight="1"/>
    <row r="107" ht="15.95" customHeight="1"/>
    <row r="108" ht="15.95" customHeight="1"/>
    <row r="109" ht="15.95" customHeight="1"/>
    <row r="110" ht="15.95" customHeight="1"/>
    <row r="111" ht="15.95" customHeight="1"/>
    <row r="112" ht="15.95" customHeight="1"/>
    <row r="113" ht="15.95" customHeight="1"/>
    <row r="114" ht="15.95" customHeight="1"/>
    <row r="115" ht="15.95" customHeight="1"/>
    <row r="116" ht="15.95" customHeight="1"/>
    <row r="117" ht="15.95" customHeight="1"/>
    <row r="118" ht="15.95" customHeight="1"/>
    <row r="119" ht="15.95" customHeight="1"/>
    <row r="120" ht="15.95" customHeight="1"/>
    <row r="121" ht="15.95" customHeight="1"/>
    <row r="122" ht="15.95" customHeight="1"/>
    <row r="123" ht="15.95" customHeight="1"/>
    <row r="124" ht="15.95" customHeight="1"/>
    <row r="125" ht="15.95" customHeight="1"/>
    <row r="126" ht="15.95" customHeight="1"/>
    <row r="127" ht="15.95" customHeight="1"/>
    <row r="128" ht="15.95" customHeight="1"/>
    <row r="129" ht="15.95" customHeight="1"/>
    <row r="130" ht="31.5" customHeight="1"/>
    <row r="131" ht="47.25" customHeight="1"/>
    <row r="132" ht="31.5" customHeight="1"/>
    <row r="133" ht="31.5" customHeight="1"/>
    <row r="134" ht="31.5" customHeight="1"/>
    <row r="135" ht="47.25" customHeight="1"/>
    <row r="136" ht="31.5" customHeight="1"/>
    <row r="137" ht="31.5" customHeight="1"/>
    <row r="138" ht="31.5" customHeight="1"/>
    <row r="139" ht="47.25" customHeight="1"/>
    <row r="140" ht="31.5" customHeight="1"/>
    <row r="141" ht="63" customHeight="1"/>
    <row r="142" ht="47.25" customHeight="1"/>
    <row r="143" ht="31.5" customHeight="1"/>
    <row r="144" ht="47.25" customHeight="1"/>
    <row r="145" ht="47.25" customHeight="1"/>
    <row r="146" ht="31.5" customHeight="1"/>
    <row r="147" ht="31.5" customHeight="1"/>
    <row r="148" ht="31.5" customHeight="1"/>
    <row r="149" ht="47.25" customHeight="1"/>
    <row r="150" ht="47.25" customHeight="1"/>
    <row r="151" ht="15.75" customHeight="1"/>
    <row r="152" ht="31.5" customHeight="1"/>
    <row r="153" ht="31.5" customHeight="1"/>
    <row r="154" ht="31.5" customHeight="1"/>
    <row r="155" ht="47.25" customHeight="1"/>
    <row r="156" ht="31.5" customHeight="1"/>
    <row r="157" ht="47.25" customHeight="1"/>
    <row r="158" ht="110.25" customHeight="1"/>
    <row r="159" ht="31.5" customHeight="1"/>
    <row r="160" ht="31.5" customHeight="1"/>
    <row r="161" ht="47.25" customHeight="1"/>
    <row r="162" ht="47.25" customHeight="1"/>
    <row r="163" ht="63" customHeight="1"/>
    <row r="164" ht="31.5" customHeight="1"/>
    <row r="165" ht="31.5" customHeight="1"/>
    <row r="166" ht="78.75" customHeight="1"/>
    <row r="167" ht="63" customHeight="1"/>
    <row r="168" ht="31.5" customHeight="1"/>
    <row r="169" ht="63" customHeight="1"/>
    <row r="170" ht="47.25" customHeight="1"/>
    <row r="171" ht="31.5" customHeight="1"/>
    <row r="172" ht="31.5" customHeight="1"/>
    <row r="173" ht="31.5" customHeight="1"/>
    <row r="174" ht="31.5" customHeight="1"/>
    <row r="175" ht="63" customHeight="1"/>
    <row r="176" ht="31.5" customHeight="1"/>
    <row r="177" ht="78.75" customHeight="1"/>
    <row r="178" ht="31.5" customHeight="1"/>
    <row r="179" ht="63" customHeight="1"/>
    <row r="180" ht="31.5" customHeight="1"/>
    <row r="181" ht="47.25" customHeight="1"/>
    <row r="182" ht="31.5" customHeight="1"/>
    <row r="183" ht="31.5" customHeight="1"/>
    <row r="184" ht="31.5" customHeight="1"/>
    <row r="185" ht="31.5" customHeight="1"/>
    <row r="186" ht="31.5" customHeight="1"/>
    <row r="187" ht="31.5" customHeight="1"/>
    <row r="188" ht="31.5" customHeight="1"/>
    <row r="189" ht="47.25" customHeight="1"/>
    <row r="190" ht="31.5" customHeight="1"/>
    <row r="191" ht="31.5" customHeight="1"/>
    <row r="192" ht="94.5" customHeight="1"/>
    <row r="193" ht="31.5" customHeight="1"/>
    <row r="194" ht="15.95" customHeight="1"/>
    <row r="195" ht="31.5" customHeight="1"/>
    <row r="196" ht="47.25" customHeight="1"/>
    <row r="197" ht="31.5" customHeight="1"/>
    <row r="198" ht="31.5" customHeight="1"/>
    <row r="199" ht="31.5" customHeight="1"/>
    <row r="200" ht="63" customHeight="1"/>
    <row r="201" ht="31.5" customHeight="1"/>
    <row r="202" ht="31.5" customHeight="1"/>
    <row r="203" ht="31.5" customHeight="1"/>
    <row r="204" ht="47.25" customHeight="1"/>
    <row r="205" ht="31.5" customHeight="1"/>
    <row r="206" ht="31.5" customHeight="1"/>
    <row r="207" ht="31.5" customHeight="1"/>
    <row r="208" ht="31.5" customHeight="1"/>
    <row r="209" ht="31.5" customHeight="1"/>
    <row r="210" ht="47.25" customHeight="1"/>
    <row r="211" ht="31.5" customHeight="1"/>
    <row r="212" ht="31.5" customHeight="1"/>
    <row r="213" ht="31.5" customHeight="1"/>
    <row r="214" ht="31.5" customHeight="1"/>
    <row r="215" ht="31.5" customHeight="1"/>
    <row r="216" ht="31.5" customHeight="1"/>
    <row r="217" ht="31.5" customHeight="1"/>
    <row r="218" ht="31.5" customHeight="1"/>
    <row r="219" ht="31.5" customHeight="1"/>
    <row r="220" ht="15.75" customHeight="1"/>
    <row r="221" ht="31.5" customHeight="1"/>
    <row r="222" ht="47.25" customHeight="1"/>
    <row r="223" ht="47.25" customHeight="1"/>
    <row r="224" ht="31.5" customHeight="1"/>
    <row r="225" ht="31.5" customHeight="1"/>
    <row r="226" ht="78.75" customHeight="1"/>
    <row r="227" ht="15.75" customHeight="1"/>
    <row r="228" ht="31.5" customHeight="1"/>
    <row r="229" ht="31.5" customHeight="1"/>
    <row r="230" ht="31.5" customHeight="1"/>
    <row r="231" ht="15.75" customHeight="1"/>
    <row r="232" ht="78.75" customHeight="1"/>
    <row r="233" ht="31.5" customHeight="1"/>
    <row r="234" ht="31.5" customHeight="1"/>
    <row r="235" ht="31.5" customHeight="1"/>
    <row r="236" ht="78.75" customHeight="1"/>
    <row r="237" ht="15.75" customHeight="1"/>
    <row r="238" ht="31.5" customHeight="1"/>
    <row r="239" ht="31.5" customHeight="1"/>
    <row r="240" ht="47.25" customHeight="1"/>
    <row r="241" ht="31.5" customHeight="1"/>
    <row r="242" ht="31.5" customHeight="1"/>
    <row r="243" ht="31.5" customHeight="1"/>
    <row r="244" ht="15.75" customHeight="1"/>
    <row r="245" ht="31.5" customHeight="1"/>
    <row r="246" ht="126" customHeight="1"/>
    <row r="247" ht="31.5" customHeight="1"/>
    <row r="248" ht="31.5" customHeight="1"/>
    <row r="249" ht="31.5" customHeight="1"/>
    <row r="250" ht="63" customHeight="1"/>
    <row r="251" ht="31.5" customHeight="1"/>
    <row r="252" ht="31.5" customHeight="1"/>
    <row r="253" ht="47.25" customHeight="1"/>
    <row r="254" ht="47.25" customHeight="1"/>
    <row r="255" ht="31.5" customHeight="1"/>
    <row r="256" ht="47.25" customHeight="1"/>
    <row r="257" ht="31.5" customHeight="1"/>
    <row r="258" ht="31.5" customHeight="1"/>
    <row r="259" ht="31.5" customHeight="1"/>
    <row r="260" ht="31.5" customHeight="1"/>
    <row r="261" ht="63" customHeight="1"/>
    <row r="262" ht="31.5" customHeight="1"/>
    <row r="263" ht="31.5" customHeight="1"/>
    <row r="264" ht="31.5" customHeight="1"/>
    <row r="265" ht="78.75" customHeight="1"/>
    <row r="266" ht="47.25" customHeight="1"/>
    <row r="267" ht="31.5" customHeight="1"/>
    <row r="268" ht="47.25" customHeight="1"/>
    <row r="269" ht="31.5" customHeight="1"/>
    <row r="270" ht="31.5" customHeight="1"/>
    <row r="271" ht="31.5" customHeight="1"/>
    <row r="272" ht="31.5" customHeight="1"/>
    <row r="273" ht="31.5" customHeight="1"/>
    <row r="274" ht="47.25" customHeight="1"/>
    <row r="275" ht="31.5" customHeight="1"/>
    <row r="276" ht="31.5" customHeight="1"/>
    <row r="277" ht="31.5" customHeight="1"/>
    <row r="278" ht="31.5" customHeight="1"/>
    <row r="279" ht="31.5" customHeight="1"/>
    <row r="280" ht="31.5" customHeight="1"/>
    <row r="281" ht="47.25" customHeight="1"/>
    <row r="282" ht="31.5" customHeight="1"/>
    <row r="283" ht="31.5" customHeight="1"/>
    <row r="284" ht="69" customHeight="1"/>
    <row r="285" ht="63" customHeight="1"/>
    <row r="286" ht="31.5" customHeight="1"/>
    <row r="287" ht="393.75" customHeight="1"/>
    <row r="288" ht="31.5" customHeight="1"/>
    <row r="289" ht="31.5" customHeight="1"/>
    <row r="290" ht="63" customHeight="1"/>
    <row r="291" ht="63" customHeight="1"/>
    <row r="292" ht="63" customHeight="1"/>
    <row r="293" ht="31.5" customHeight="1"/>
    <row r="294" ht="31.5" customHeight="1"/>
    <row r="295" ht="31.5" customHeight="1"/>
    <row r="296" ht="31.5" customHeight="1"/>
    <row r="297" ht="31.5" customHeight="1"/>
    <row r="298" ht="47.25" customHeight="1"/>
    <row r="299" ht="31.5" customHeight="1"/>
    <row r="300" ht="94.5" customHeight="1"/>
    <row r="301" ht="31.5" customHeight="1"/>
    <row r="302" ht="31.5" customHeight="1"/>
    <row r="303" ht="31.5" customHeight="1"/>
    <row r="304" ht="31.5" customHeight="1"/>
    <row r="305" ht="63" customHeight="1"/>
    <row r="306" ht="31.5" customHeight="1"/>
    <row r="307" ht="31.5" customHeight="1"/>
    <row r="308" ht="126" customHeight="1"/>
    <row r="309" ht="78.75" customHeight="1"/>
    <row r="310" ht="63" customHeight="1"/>
    <row r="311" ht="47.25" customHeight="1"/>
    <row r="312" ht="31.5" customHeight="1"/>
    <row r="313" ht="31.5" customHeight="1"/>
    <row r="314" ht="31.5" customHeight="1"/>
    <row r="315" ht="31.5" customHeight="1"/>
    <row r="316" ht="31.5" customHeight="1"/>
    <row r="317" ht="31.5" customHeight="1"/>
    <row r="318" ht="31.5" customHeight="1"/>
    <row r="319" ht="31.5" customHeight="1"/>
    <row r="320" ht="47.25" customHeight="1"/>
    <row r="321" ht="47.25" customHeight="1"/>
    <row r="322" ht="31.5" customHeight="1"/>
    <row r="323" ht="31.5" customHeight="1"/>
    <row r="324" ht="15.95" customHeight="1"/>
    <row r="325" ht="47.25" customHeight="1"/>
    <row r="326" ht="31.5" customHeight="1"/>
    <row r="327" ht="31.5" customHeight="1"/>
    <row r="328" ht="31.5" customHeight="1"/>
    <row r="329" ht="31.5" customHeight="1"/>
    <row r="330" ht="31.5" customHeight="1"/>
    <row r="331" ht="31.5" customHeight="1"/>
    <row r="332" ht="31.5" customHeight="1"/>
    <row r="333" ht="31.5" customHeight="1"/>
    <row r="334" ht="31.5" customHeight="1"/>
    <row r="335" ht="47.25" customHeight="1"/>
    <row r="336" ht="94.5" customHeight="1"/>
    <row r="337" ht="31.5" customHeight="1"/>
    <row r="338" ht="31.5" customHeight="1"/>
    <row r="339" ht="63" customHeight="1"/>
    <row r="340" ht="47.25" customHeight="1"/>
    <row r="341" ht="47.25" customHeight="1"/>
    <row r="342" ht="47.25" customHeight="1"/>
    <row r="343" ht="31.5" customHeight="1"/>
    <row r="344" ht="31.5" customHeight="1"/>
    <row r="345" ht="31.5" customHeight="1"/>
    <row r="346" ht="31.5" customHeight="1"/>
    <row r="347" ht="31.5" customHeight="1"/>
    <row r="348" ht="31.5" customHeight="1"/>
    <row r="349" ht="31.5" customHeight="1"/>
    <row r="350" ht="31.5" customHeight="1"/>
    <row r="351" ht="31.5" customHeight="1"/>
    <row r="352" ht="31.5" customHeight="1"/>
    <row r="353" ht="31.5" customHeight="1"/>
    <row r="354" ht="31.5" customHeight="1"/>
    <row r="355" ht="31.5" customHeight="1"/>
    <row r="356" ht="31.5" customHeight="1"/>
    <row r="357" ht="31.5" customHeight="1"/>
    <row r="358" ht="47.25" customHeight="1"/>
    <row r="359" ht="63" customHeight="1"/>
    <row r="360" ht="47.25" customHeight="1"/>
    <row r="361" ht="31.5" customHeight="1"/>
    <row r="362" ht="31.5" customHeight="1"/>
    <row r="363" ht="47.25" customHeight="1"/>
    <row r="364" ht="63" customHeight="1"/>
    <row r="365" ht="31.5" customHeight="1"/>
    <row r="366" ht="126" customHeight="1"/>
    <row r="367" ht="31.5" customHeight="1"/>
    <row r="368" ht="63" customHeight="1"/>
    <row r="369" ht="31.5" customHeight="1"/>
    <row r="370" ht="15.75" customHeight="1"/>
    <row r="371" ht="47.25" customHeight="1"/>
    <row r="372" ht="78.75" customHeight="1"/>
    <row r="373" ht="94.5" customHeight="1"/>
    <row r="374" ht="31.5" customHeight="1"/>
    <row r="375" ht="63" customHeight="1"/>
    <row r="376" ht="31.5" customHeight="1"/>
    <row r="377" ht="63" customHeight="1"/>
    <row r="378" ht="31.5" customHeight="1"/>
    <row r="379" ht="15.75" customHeight="1"/>
    <row r="380" ht="31.5" customHeight="1"/>
    <row r="381" ht="47.25" customHeight="1"/>
    <row r="382" ht="31.5" customHeight="1"/>
    <row r="383" ht="63" customHeight="1"/>
    <row r="384" ht="31.5" customHeight="1"/>
    <row r="385" ht="47.25" customHeight="1"/>
    <row r="386" ht="31.5" customHeight="1"/>
    <row r="387" ht="63" customHeight="1"/>
    <row r="388" ht="94.5" customHeight="1"/>
    <row r="389" ht="31.5" customHeight="1"/>
    <row r="390" ht="110.25" customHeight="1"/>
    <row r="391" ht="31.5" customHeight="1"/>
    <row r="392" ht="63" customHeight="1"/>
    <row r="393" ht="63" customHeight="1"/>
    <row r="394" ht="31.5" customHeight="1"/>
    <row r="395" ht="157.5" customHeight="1"/>
    <row r="396" ht="31.5" customHeight="1"/>
    <row r="397" ht="47.25" customHeight="1"/>
    <row r="398" ht="63" customHeight="1"/>
    <row r="399" ht="63" customHeight="1"/>
    <row r="400" ht="31.5" customHeight="1"/>
    <row r="401" ht="47.25" customHeight="1"/>
    <row r="402" ht="31.5" customHeight="1"/>
    <row r="403" ht="31.5" customHeight="1"/>
    <row r="404" ht="47.25" customHeight="1"/>
    <row r="405" ht="47.25" customHeight="1"/>
    <row r="406" ht="31.5" customHeight="1"/>
    <row r="407" ht="31.5" customHeight="1"/>
    <row r="408" ht="31.5" customHeight="1"/>
    <row r="409" ht="47.25" customHeight="1"/>
    <row r="410" ht="31.5" customHeight="1"/>
    <row r="411" ht="31.5" customHeight="1"/>
    <row r="412" ht="31.5" customHeight="1"/>
    <row r="413" ht="47.25" customHeight="1"/>
    <row r="414" ht="126" customHeight="1"/>
    <row r="415" ht="31.5" customHeight="1"/>
    <row r="416" ht="104.25" customHeight="1"/>
    <row r="417" ht="31.5" customHeight="1"/>
    <row r="418" ht="15.75" customHeight="1"/>
    <row r="419" ht="47.25" customHeight="1"/>
    <row r="420" ht="31.5" customHeight="1"/>
    <row r="421" ht="31.5" customHeight="1"/>
    <row r="422" ht="31.5" customHeight="1"/>
    <row r="423" ht="31.5" customHeight="1"/>
    <row r="424" ht="31.5" customHeight="1"/>
    <row r="425" ht="15.75" customHeight="1"/>
    <row r="426" ht="15.75" customHeight="1"/>
    <row r="427" ht="31.5" customHeight="1"/>
    <row r="428" ht="31.5" customHeight="1"/>
    <row r="429" ht="15.75" customHeight="1"/>
    <row r="430" ht="31.5" customHeight="1"/>
    <row r="431" ht="47.25" customHeight="1"/>
    <row r="432" ht="15.75" customHeight="1"/>
    <row r="433" ht="47.25" customHeight="1"/>
    <row r="434" ht="47.25" customHeight="1"/>
    <row r="435" ht="47.25" customHeight="1"/>
    <row r="436" ht="31.5" customHeight="1"/>
    <row r="437" ht="47.25" customHeight="1"/>
    <row r="438" ht="31.5" customHeight="1"/>
    <row r="439" ht="31.5" customHeight="1"/>
    <row r="440" ht="47.25" customHeight="1"/>
    <row r="441" ht="33" customHeight="1"/>
    <row r="442" ht="31.5" customHeight="1"/>
    <row r="443" ht="31.5" customHeight="1"/>
    <row r="444" ht="63" customHeight="1"/>
    <row r="445" ht="31.5" customHeight="1"/>
    <row r="446" ht="63" customHeight="1"/>
    <row r="447" ht="31.5" customHeight="1"/>
    <row r="448" ht="31.5" customHeight="1"/>
    <row r="449" ht="31.5" customHeight="1"/>
    <row r="450" ht="31.5" customHeight="1"/>
    <row r="451" ht="47.25" customHeight="1"/>
    <row r="452" ht="31.5" customHeight="1"/>
    <row r="453" ht="63" customHeight="1"/>
    <row r="454" ht="31.5" customHeight="1"/>
    <row r="455" ht="31.5" customHeight="1"/>
    <row r="456" ht="47.25" customHeight="1"/>
    <row r="457" ht="47.25" customHeight="1"/>
    <row r="458" ht="63" customHeight="1"/>
    <row r="459" ht="47.25" customHeight="1"/>
    <row r="460" ht="47.25" customHeight="1"/>
    <row r="461" ht="63" customHeight="1"/>
    <row r="462" ht="31.5" customHeight="1"/>
    <row r="463" ht="31.5" customHeight="1"/>
    <row r="464" ht="362.25" customHeight="1"/>
    <row r="465" ht="31.5" customHeight="1"/>
    <row r="466" ht="47.25" customHeight="1"/>
    <row r="467" ht="31.5" customHeight="1"/>
    <row r="468" ht="47.25" customHeight="1"/>
    <row r="469" ht="31.5" customHeight="1"/>
    <row r="470" ht="31.5" customHeight="1"/>
    <row r="471" ht="86.25" customHeight="1"/>
    <row r="472" ht="31.5" customHeight="1"/>
    <row r="473" ht="31.5" customHeight="1"/>
    <row r="474" ht="63" customHeight="1"/>
    <row r="475" ht="31.5" customHeight="1"/>
    <row r="476" ht="31.5" customHeight="1"/>
    <row r="477" ht="31.5" customHeight="1"/>
    <row r="478" ht="31.5" customHeight="1"/>
    <row r="479" ht="31.5" customHeight="1"/>
    <row r="480" ht="63" customHeight="1"/>
    <row r="481" ht="31.5" customHeight="1"/>
    <row r="482" ht="31.5" customHeight="1"/>
    <row r="483" ht="31.5" customHeight="1"/>
    <row r="484" ht="31.5" customHeight="1"/>
    <row r="485" ht="63" customHeight="1"/>
    <row r="486" ht="31.5" customHeight="1"/>
    <row r="487" ht="78.75" customHeight="1"/>
    <row r="488" ht="78.75" customHeight="1"/>
    <row r="489" ht="31.5" customHeight="1"/>
    <row r="490" ht="31.5" customHeight="1"/>
    <row r="491" ht="15.75" customHeight="1"/>
    <row r="492" ht="31.5" customHeight="1"/>
    <row r="493" ht="31.5" customHeight="1"/>
    <row r="494" ht="31.5" customHeight="1"/>
    <row r="495" ht="31.5" customHeight="1"/>
    <row r="496" ht="31.5" customHeight="1"/>
    <row r="497" ht="31.5" customHeight="1"/>
    <row r="498" ht="31.5" customHeight="1"/>
    <row r="499" ht="47.25" customHeight="1"/>
    <row r="500" ht="31.5" customHeight="1"/>
    <row r="501" ht="47.25" customHeight="1"/>
    <row r="502" ht="31.5" customHeight="1"/>
    <row r="503" ht="47.25" customHeight="1"/>
    <row r="504" ht="31.5" customHeight="1"/>
    <row r="505" ht="31.5" customHeight="1"/>
    <row r="506" ht="47.25" customHeight="1"/>
    <row r="507" ht="78.75" customHeight="1"/>
    <row r="508" ht="47.25" customHeight="1"/>
    <row r="509" ht="15.75" customHeight="1"/>
    <row r="510" ht="15.75" customHeight="1"/>
    <row r="511" ht="78.75" customHeight="1"/>
    <row r="512" ht="31.5" customHeight="1"/>
    <row r="513" ht="31.5" customHeight="1"/>
    <row r="514" ht="31.5" customHeight="1"/>
    <row r="515" ht="78.75" customHeight="1"/>
    <row r="516" ht="47.25" customHeight="1"/>
    <row r="517" ht="47.25" customHeight="1"/>
    <row r="518" ht="47.25" customHeight="1"/>
    <row r="519" ht="31.5" customHeight="1"/>
    <row r="520" ht="31.5" customHeight="1"/>
    <row r="521" ht="31.5" customHeight="1"/>
    <row r="522" ht="63" customHeight="1"/>
    <row r="523" ht="47.25" customHeight="1"/>
    <row r="524" ht="31.5" customHeight="1"/>
    <row r="525" ht="31.5" customHeight="1"/>
    <row r="526" ht="31.5" customHeight="1"/>
    <row r="527" ht="63" customHeight="1"/>
    <row r="528" ht="47.25" customHeight="1"/>
    <row r="529" ht="63" customHeight="1"/>
    <row r="530" ht="31.5" customHeight="1"/>
    <row r="531" ht="47.25" customHeight="1"/>
    <row r="532" ht="31.5" customHeight="1"/>
    <row r="533" ht="31.5" customHeight="1"/>
    <row r="534" ht="31.5" customHeight="1"/>
    <row r="535" ht="47.25" customHeight="1"/>
    <row r="536" ht="31.5" customHeight="1"/>
    <row r="537" ht="47.25" customHeight="1"/>
    <row r="538" ht="47.25" customHeight="1"/>
    <row r="539" ht="31.5" customHeight="1"/>
    <row r="540" ht="31.5" customHeight="1"/>
    <row r="541" ht="47.25" customHeight="1"/>
    <row r="542" ht="78.75" customHeight="1"/>
    <row r="543" ht="31.5" customHeight="1"/>
    <row r="544" ht="63" customHeight="1"/>
    <row r="545" ht="31.5" customHeight="1"/>
    <row r="546" ht="31.5" customHeight="1"/>
    <row r="547" ht="31.5" customHeight="1"/>
    <row r="548" ht="47.25" customHeight="1"/>
    <row r="549" ht="126" customHeight="1"/>
    <row r="550" ht="31.5" customHeight="1"/>
    <row r="551" ht="157.5" customHeight="1"/>
    <row r="552" ht="31.5" customHeight="1"/>
    <row r="553" ht="63" customHeight="1"/>
    <row r="554" ht="31.5" customHeight="1"/>
    <row r="555" ht="31.5" customHeight="1"/>
    <row r="556" ht="47.25" customHeight="1"/>
    <row r="557" ht="31.5" customHeight="1"/>
    <row r="558" ht="47.25" customHeight="1"/>
    <row r="559" ht="31.5" customHeight="1"/>
    <row r="560" ht="31.5" customHeight="1"/>
    <row r="561" ht="31.5" customHeight="1"/>
    <row r="562" ht="78.75" customHeight="1"/>
    <row r="563" ht="31.5" customHeight="1"/>
    <row r="564" ht="78.75" customHeight="1"/>
    <row r="565" ht="47.25" customHeight="1"/>
    <row r="566" ht="31.5" customHeight="1"/>
    <row r="567" ht="15.75" customHeight="1"/>
    <row r="568" ht="47.25" customHeight="1"/>
    <row r="569" ht="31.5" customHeight="1"/>
    <row r="570" ht="15.75" customHeight="1"/>
    <row r="571" ht="31.5" customHeight="1"/>
    <row r="572" ht="31.5" customHeight="1"/>
    <row r="573" ht="47.25" customHeight="1"/>
    <row r="574" ht="47.25" customHeight="1"/>
    <row r="575" ht="31.5" customHeight="1"/>
    <row r="576" ht="63" customHeight="1"/>
    <row r="577" ht="31.5" customHeight="1"/>
    <row r="578" ht="31.5" customHeight="1"/>
    <row r="579" ht="31.5" customHeight="1"/>
    <row r="580" ht="63" customHeight="1"/>
    <row r="581" ht="31.5" customHeight="1"/>
    <row r="582" ht="31.5" customHeight="1"/>
    <row r="583" ht="47.25" customHeight="1"/>
    <row r="584" ht="31.5" customHeight="1"/>
    <row r="585" ht="78.75" customHeight="1"/>
    <row r="586" ht="31.5" customHeight="1"/>
    <row r="587" ht="31.5" customHeight="1"/>
    <row r="588" ht="31.5" customHeight="1"/>
    <row r="589" ht="31.5" customHeight="1"/>
    <row r="590" ht="47.25" customHeight="1"/>
    <row r="591" ht="31.5" customHeight="1"/>
    <row r="592" ht="47.25" customHeight="1"/>
    <row r="593" ht="47.25" customHeight="1"/>
    <row r="594" ht="47.25" customHeight="1"/>
    <row r="595" ht="47.25" customHeight="1"/>
    <row r="596" ht="47.25" customHeight="1"/>
    <row r="597" ht="31.5" customHeight="1"/>
    <row r="598" ht="47.25" customHeight="1"/>
    <row r="599" ht="47.25" customHeight="1"/>
    <row r="600" ht="47.25" customHeight="1"/>
    <row r="601" ht="47.25" customHeight="1"/>
    <row r="602" ht="31.5" customHeight="1"/>
    <row r="603" ht="31.5" customHeight="1"/>
    <row r="604" ht="31.5" customHeight="1"/>
    <row r="605" ht="31.5" customHeight="1"/>
    <row r="606" ht="32.1" customHeight="1"/>
    <row r="607" ht="31.5" customHeight="1"/>
    <row r="608" ht="31.5" customHeight="1"/>
    <row r="609" ht="47.25" customHeight="1"/>
    <row r="610" ht="31.5" customHeight="1"/>
    <row r="611" ht="47.25" customHeight="1"/>
    <row r="612" ht="78.75" customHeight="1"/>
    <row r="613" ht="31.5" customHeight="1"/>
    <row r="614" ht="47.25" customHeight="1"/>
    <row r="615" ht="47.25" customHeight="1"/>
    <row r="616" ht="47.25" customHeight="1"/>
    <row r="617" ht="47.25" customHeight="1"/>
    <row r="618" ht="31.5" customHeight="1"/>
    <row r="619" ht="47.25" customHeight="1"/>
    <row r="620" ht="110.25" customHeight="1"/>
    <row r="621" ht="63" customHeight="1"/>
    <row r="622" ht="31.5" customHeight="1"/>
    <row r="623" ht="47.25" customHeight="1"/>
    <row r="624" ht="47.25" customHeight="1"/>
    <row r="625" ht="31.5" customHeight="1"/>
    <row r="626" ht="78.75" customHeight="1"/>
    <row r="627" ht="47.25" customHeight="1"/>
    <row r="628" ht="31.5" customHeight="1"/>
    <row r="629" ht="31.5" customHeight="1"/>
    <row r="630" ht="31.5" customHeight="1"/>
    <row r="631" ht="31.5" customHeight="1"/>
    <row r="632" ht="31.5" customHeight="1"/>
    <row r="633" ht="31.5" customHeight="1"/>
    <row r="634" ht="31.5" customHeight="1"/>
    <row r="635" ht="94.5" customHeight="1"/>
    <row r="636" ht="78.75" customHeight="1"/>
    <row r="637" ht="31.5" customHeight="1"/>
    <row r="638" ht="31.5" customHeight="1"/>
    <row r="639" ht="31.5" customHeight="1"/>
    <row r="640" ht="47.25" customHeight="1"/>
    <row r="641" ht="31.5" customHeight="1"/>
    <row r="642" ht="31.5" customHeight="1"/>
    <row r="643" ht="63" customHeight="1"/>
    <row r="644" ht="31.5" customHeight="1"/>
    <row r="645" ht="47.25" customHeight="1"/>
    <row r="646" ht="31.5" customHeight="1"/>
    <row r="647" ht="31.5" customHeight="1"/>
    <row r="648" ht="63" customHeight="1"/>
    <row r="649" ht="31.5" customHeight="1"/>
    <row r="650" ht="47.25" customHeight="1"/>
    <row r="651" ht="47.25" customHeight="1"/>
    <row r="652" ht="31.5" customHeight="1"/>
    <row r="653" ht="31.5" customHeight="1"/>
    <row r="654" ht="80.099999999999994" customHeight="1"/>
    <row r="655" ht="47.25" customHeight="1"/>
    <row r="656" ht="31.5" customHeight="1"/>
    <row r="657" ht="47.25" customHeight="1"/>
    <row r="658" ht="31.5" customHeight="1"/>
    <row r="659" ht="63" customHeight="1"/>
    <row r="660" ht="63" customHeight="1"/>
    <row r="661" ht="31.5" customHeight="1"/>
    <row r="662" ht="31.5" customHeight="1"/>
    <row r="663" ht="63" customHeight="1"/>
    <row r="664" ht="31.5" customHeight="1"/>
    <row r="665" ht="94.5" customHeight="1"/>
    <row r="666" ht="31.5" customHeight="1"/>
    <row r="667" ht="31.5" customHeight="1"/>
    <row r="668" ht="47.25" customHeight="1"/>
    <row r="669" ht="31.5" customHeight="1"/>
    <row r="670" ht="31.5" customHeight="1"/>
    <row r="671" ht="94.5" customHeight="1"/>
    <row r="672" ht="110.25" customHeight="1"/>
    <row r="673" ht="63" customHeight="1"/>
    <row r="674" ht="31.5" customHeight="1"/>
    <row r="675" ht="31.5" customHeight="1"/>
    <row r="676" ht="31.5" customHeight="1"/>
    <row r="677" ht="31.5" customHeight="1"/>
    <row r="678" ht="47.25" customHeight="1"/>
    <row r="679" ht="31.5" customHeight="1"/>
    <row r="680" ht="31.5" customHeight="1"/>
    <row r="681" ht="31.5" customHeight="1"/>
    <row r="682" ht="31.5" customHeight="1"/>
    <row r="683" ht="31.5" customHeight="1"/>
    <row r="684" ht="31.5" customHeight="1"/>
    <row r="685" ht="31.5" customHeight="1"/>
    <row r="686" ht="31.5" customHeight="1"/>
    <row r="687" ht="31.5" customHeight="1"/>
    <row r="688" ht="31.5" customHeight="1"/>
    <row r="689" ht="47.25" customHeight="1"/>
    <row r="690" ht="31.5" customHeight="1"/>
    <row r="691" ht="31.5" customHeight="1"/>
    <row r="692" ht="31.5" customHeight="1"/>
    <row r="693" ht="31.5" customHeight="1"/>
    <row r="694" ht="47.25" customHeight="1"/>
    <row r="695" ht="78.75" customHeight="1"/>
    <row r="696" ht="31.5" customHeight="1"/>
    <row r="697" ht="31.5" customHeight="1"/>
    <row r="698" ht="63" customHeight="1"/>
    <row r="699" ht="31.5" customHeight="1"/>
    <row r="700" ht="31.5" customHeight="1"/>
    <row r="701" ht="31.5" customHeight="1"/>
    <row r="702" ht="31.5" customHeight="1"/>
    <row r="703" ht="31.5" customHeight="1"/>
    <row r="704" ht="31.5" customHeight="1"/>
    <row r="705" ht="63" customHeight="1"/>
    <row r="706" ht="31.5" customHeight="1"/>
    <row r="707" ht="31.5" customHeight="1"/>
    <row r="708" ht="31.5" customHeight="1"/>
    <row r="709" ht="31.5" customHeight="1"/>
    <row r="710" ht="31.5" customHeight="1"/>
    <row r="711" ht="47.25" customHeight="1"/>
    <row r="712" ht="31.5" customHeight="1"/>
    <row r="713" ht="31.5" customHeight="1"/>
    <row r="714" ht="47.25" customHeight="1"/>
    <row r="715" ht="31.5" customHeight="1"/>
    <row r="716" ht="47.25" customHeight="1"/>
    <row r="717" ht="141.75" customHeight="1"/>
    <row r="718" ht="47.25" customHeight="1"/>
    <row r="719" ht="31.5" customHeight="1"/>
    <row r="720" ht="47.25" customHeight="1"/>
    <row r="721" ht="47.25" customHeight="1"/>
    <row r="722" ht="31.5" customHeight="1"/>
    <row r="723" ht="31.5" customHeight="1"/>
    <row r="724" ht="47.25" customHeight="1"/>
    <row r="725" ht="63" customHeight="1"/>
    <row r="726" ht="47.25" customHeight="1"/>
    <row r="727" ht="47.25" customHeight="1"/>
    <row r="728" ht="63" customHeight="1"/>
    <row r="729" ht="31.5" customHeight="1"/>
    <row r="730" ht="47.25" customHeight="1"/>
    <row r="731" ht="31.5" customHeight="1"/>
    <row r="732" ht="63" customHeight="1"/>
    <row r="733" ht="47.25" customHeight="1"/>
    <row r="734" ht="31.5" customHeight="1"/>
    <row r="735" ht="63" customHeight="1"/>
    <row r="736" ht="31.5" customHeight="1"/>
    <row r="737" ht="47.25" customHeight="1"/>
    <row r="738" ht="31.5" customHeight="1"/>
    <row r="739" ht="31.5" customHeight="1"/>
    <row r="740" ht="31.5" customHeight="1"/>
    <row r="741" ht="31.5" customHeight="1"/>
    <row r="742" ht="31.5" customHeight="1"/>
    <row r="743" ht="47.25" customHeight="1"/>
    <row r="744" ht="31.5" customHeight="1"/>
    <row r="745" ht="31.5" customHeight="1"/>
    <row r="746" ht="31.5" customHeight="1"/>
    <row r="747" ht="189" customHeight="1"/>
    <row r="748" ht="31.5" customHeight="1"/>
    <row r="749" ht="31.5" customHeight="1"/>
    <row r="750" ht="31.5" customHeight="1"/>
    <row r="751" ht="31.5" customHeight="1"/>
    <row r="752" ht="31.5" customHeight="1"/>
    <row r="753" ht="15.75" customHeight="1"/>
    <row r="754" ht="15.75" customHeight="1"/>
    <row r="755" ht="31.5" customHeight="1"/>
    <row r="756" ht="31.5" customHeight="1"/>
    <row r="757" ht="31.5" customHeight="1"/>
    <row r="758" ht="31.5" customHeight="1"/>
    <row r="759" ht="15.75" customHeight="1"/>
    <row r="760" ht="31.5" customHeight="1"/>
    <row r="761" ht="15.75" customHeight="1"/>
    <row r="762" ht="15.75" customHeight="1"/>
    <row r="763" ht="63" customHeight="1"/>
    <row r="764" ht="31.5" customHeight="1"/>
    <row r="765" ht="31.5" customHeight="1"/>
    <row r="766" ht="31.5" customHeight="1"/>
    <row r="767" ht="15.75" customHeight="1"/>
    <row r="768" ht="31.5" customHeight="1"/>
    <row r="769" ht="47.25" customHeight="1"/>
    <row r="770" ht="94.5" customHeight="1"/>
    <row r="771" ht="63" customHeight="1"/>
    <row r="772" ht="15.75" customHeight="1"/>
    <row r="773" ht="63" customHeight="1"/>
    <row r="774" ht="31.5" customHeight="1"/>
    <row r="775" ht="15.75" customHeight="1"/>
    <row r="776" ht="15.75" customHeight="1"/>
    <row r="777" ht="31.5" customHeight="1"/>
    <row r="778" ht="31.5" customHeight="1"/>
    <row r="779" ht="31.5" customHeight="1"/>
    <row r="780" ht="141.75" customHeight="1"/>
    <row r="781" ht="31.5" customHeight="1"/>
    <row r="782" ht="47.25" customHeight="1"/>
    <row r="783" ht="31.5" customHeight="1"/>
    <row r="784" ht="94.5" customHeight="1"/>
    <row r="785" ht="31.5" customHeight="1"/>
    <row r="786" ht="31.5" customHeight="1"/>
    <row r="787" ht="47.25" customHeight="1"/>
    <row r="788" ht="31.5" customHeight="1"/>
    <row r="789" ht="31.5" customHeight="1"/>
    <row r="790" ht="47.25" customHeight="1"/>
    <row r="791" ht="47.25" customHeight="1"/>
    <row r="792" ht="47.25" customHeight="1"/>
    <row r="793" ht="47.25" customHeight="1"/>
    <row r="794" ht="31.5" customHeight="1"/>
    <row r="795" ht="47.25" customHeight="1"/>
    <row r="796" ht="31.5" customHeight="1"/>
    <row r="797" ht="94.5" customHeight="1"/>
    <row r="798" ht="63" customHeight="1"/>
    <row r="799" ht="31.5" customHeight="1"/>
    <row r="800" ht="94.5" customHeight="1"/>
    <row r="801" ht="126" customHeight="1"/>
    <row r="802" ht="63" customHeight="1"/>
    <row r="803" ht="63" customHeight="1"/>
    <row r="804" ht="63" customHeight="1"/>
    <row r="805" ht="47.25" customHeight="1"/>
    <row r="806" ht="78.75" customHeight="1"/>
    <row r="807" ht="31.5" customHeight="1"/>
    <row r="808" ht="31.5" customHeight="1"/>
    <row r="809" ht="31.5" customHeight="1"/>
    <row r="810" ht="63" customHeight="1"/>
    <row r="811" ht="47.25" customHeight="1"/>
    <row r="812" ht="47.25" customHeight="1"/>
    <row r="813" ht="31.5" customHeight="1"/>
    <row r="814" ht="47.25" customHeight="1"/>
    <row r="815" ht="47.25" customHeight="1"/>
    <row r="816" ht="47.25" customHeight="1"/>
    <row r="817" ht="31.5" customHeight="1"/>
    <row r="818" ht="31.5" customHeight="1"/>
    <row r="819" ht="63" customHeight="1"/>
    <row r="820" ht="47.25" customHeight="1"/>
    <row r="821" ht="31.5" customHeight="1"/>
    <row r="822" ht="31.5" customHeight="1"/>
    <row r="823" ht="31.5" customHeight="1"/>
    <row r="824" ht="47.25" customHeight="1"/>
    <row r="825" ht="47.25" customHeight="1"/>
    <row r="826" ht="31.5" customHeight="1"/>
    <row r="827" ht="31.5" customHeight="1"/>
    <row r="828" ht="47.25" customHeight="1"/>
    <row r="829" ht="31.5" customHeight="1"/>
    <row r="830" ht="31.5" customHeight="1"/>
    <row r="831" ht="31.5" customHeight="1"/>
    <row r="832" ht="47.25" customHeight="1"/>
    <row r="833" ht="31.5" customHeight="1"/>
    <row r="834" ht="31.5" customHeight="1"/>
    <row r="835" ht="31.5" customHeight="1"/>
    <row r="836" ht="63" customHeight="1"/>
    <row r="837" ht="94.5" customHeight="1"/>
    <row r="838" ht="94.5" customHeight="1"/>
    <row r="839" ht="47.25" customHeight="1"/>
    <row r="840" ht="31.5" customHeight="1"/>
    <row r="841" ht="31.5" customHeight="1"/>
    <row r="842" ht="47.25" customHeight="1"/>
    <row r="843" ht="31.5" customHeight="1"/>
    <row r="844" ht="31.5" customHeight="1"/>
    <row r="845" ht="31.5" customHeight="1"/>
    <row r="846" ht="31.5" customHeight="1"/>
    <row r="847" ht="47.25" customHeight="1"/>
    <row r="848" ht="47.25" customHeight="1"/>
    <row r="849" ht="31.5" customHeight="1"/>
    <row r="850" ht="31.5" customHeight="1"/>
    <row r="851" ht="47.25" customHeight="1"/>
    <row r="852" ht="31.5" customHeight="1"/>
    <row r="853" ht="31.5" customHeight="1"/>
    <row r="854" ht="31.5" customHeight="1"/>
    <row r="855" ht="47.25" customHeight="1"/>
    <row r="856" ht="63" customHeight="1"/>
    <row r="857" ht="31.5" customHeight="1"/>
    <row r="858" ht="31.5" customHeight="1"/>
    <row r="859" ht="63" customHeight="1"/>
    <row r="860" ht="63" customHeight="1"/>
    <row r="861" ht="31.5" customHeight="1"/>
    <row r="862" ht="31.5" customHeight="1"/>
    <row r="863" ht="126" customHeight="1"/>
    <row r="864" ht="47.25" customHeight="1"/>
    <row r="865" ht="31.5" customHeight="1"/>
    <row r="866" ht="31.5" customHeight="1"/>
    <row r="867" ht="126" customHeight="1"/>
    <row r="868" ht="94.5" customHeight="1"/>
    <row r="869" ht="31.5" customHeight="1"/>
    <row r="870" ht="15.75" customHeight="1"/>
    <row r="871" ht="31.5" customHeight="1"/>
    <row r="872" ht="31.5" customHeight="1"/>
    <row r="873" ht="31.5" customHeight="1"/>
    <row r="874" ht="31.5" customHeight="1"/>
    <row r="875" ht="63" customHeight="1"/>
    <row r="876" ht="31.5" customHeight="1"/>
    <row r="877" ht="31.5" customHeight="1"/>
    <row r="878" ht="15.75" customHeight="1"/>
    <row r="879" ht="31.5" customHeight="1"/>
    <row r="880" ht="47.25" customHeight="1"/>
    <row r="881" ht="15.75" customHeight="1"/>
    <row r="882" ht="47.25" customHeight="1"/>
    <row r="883" ht="31.5" customHeight="1"/>
    <row r="884" ht="15.75" customHeight="1"/>
    <row r="885" ht="63" customHeight="1"/>
    <row r="886" ht="31.5" customHeight="1"/>
    <row r="887" ht="31.5" customHeight="1"/>
    <row r="888" ht="47.25" customHeight="1"/>
    <row r="889" ht="15.75" customHeight="1"/>
    <row r="890" ht="31.5" customHeight="1"/>
    <row r="891" ht="47.25" customHeight="1"/>
    <row r="892" ht="47.25" customHeight="1"/>
    <row r="893" ht="15.75" customHeight="1"/>
    <row r="894" ht="47.25" customHeight="1"/>
    <row r="895" ht="31.5" customHeight="1"/>
    <row r="896" ht="31.5" customHeight="1"/>
    <row r="897" ht="94.5" customHeight="1"/>
    <row r="898" ht="31.5" customHeight="1"/>
    <row r="899" ht="31.5" customHeight="1"/>
    <row r="900" ht="63" customHeight="1"/>
    <row r="901" ht="31.5" customHeight="1"/>
    <row r="902" ht="110.25" customHeight="1"/>
    <row r="903" ht="31.5" customHeight="1"/>
    <row r="904" ht="31.5" customHeight="1"/>
    <row r="905" ht="31.5" customHeight="1"/>
    <row r="906" ht="31.5" customHeight="1"/>
    <row r="907" ht="94.5" customHeight="1"/>
    <row r="908" ht="31.5" customHeight="1"/>
    <row r="909" ht="31.5" customHeight="1"/>
    <row r="910" ht="31.5" customHeight="1"/>
    <row r="911" ht="31.5" customHeight="1"/>
    <row r="912" ht="47.25" customHeight="1"/>
    <row r="913" ht="126" customHeight="1"/>
    <row r="914" ht="47.25" customHeight="1"/>
    <row r="915" ht="94.5" customHeight="1"/>
    <row r="916" ht="47.25" customHeight="1"/>
    <row r="917" ht="31.5" customHeight="1"/>
    <row r="918" ht="63" customHeight="1"/>
    <row r="919" ht="15.95" customHeight="1"/>
    <row r="920" ht="15.95" customHeight="1"/>
    <row r="921" ht="15.95" customHeight="1"/>
    <row r="922" ht="31.5" customHeight="1"/>
    <row r="923" ht="31.5" customHeight="1"/>
  </sheetData>
  <mergeCells count="4">
    <mergeCell ref="A1:J1"/>
    <mergeCell ref="A2:B2"/>
    <mergeCell ref="C2:D2"/>
    <mergeCell ref="E2:J2"/>
  </mergeCells>
  <conditionalFormatting sqref="K40:K1048576 J3:J1048576">
    <cfRule type="timePeriod" dxfId="30" priority="1" timePeriod="today">
      <formula>FLOOR(J3,1)=TODAY()</formula>
    </cfRule>
  </conditionalFormatting>
  <hyperlinks>
    <hyperlink ref="E2:J2" r:id="rId1" display="DIRECT LINK TO UNIT GUIDE - CLICK HERE" xr:uid="{E40620AF-9842-4105-86EC-BFB7083C8B61}"/>
  </hyperlinks>
  <pageMargins left="0.25" right="0.25" top="0.75" bottom="0.75" header="0.3" footer="0.3"/>
  <pageSetup scale="35" fitToWidth="0" fitToHeight="0" orientation="portrait" horizontalDpi="1200" verticalDpi="1200" r:id="rId2"/>
  <headerFooter>
    <oddHeader>&amp;LWT8 UNIT GUIDE&amp;CUPDATED: &amp;T&amp;D</oddHeader>
  </headerFooter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3"/>
  <dimension ref="A1:K37"/>
  <sheetViews>
    <sheetView workbookViewId="0"/>
  </sheetViews>
  <sheetFormatPr defaultColWidth="8.7109375" defaultRowHeight="15.75"/>
  <cols>
    <col min="1" max="1" width="11" style="1" customWidth="1"/>
    <col min="3" max="3" width="11" style="1" customWidth="1"/>
    <col min="5" max="5" width="14.140625" style="1" customWidth="1"/>
    <col min="7" max="7" width="11" style="1" customWidth="1"/>
    <col min="11" max="11" width="11.42578125" style="1" bestFit="1" customWidth="1"/>
  </cols>
  <sheetData>
    <row r="1" spans="1:11">
      <c r="A1" s="1" t="s">
        <v>470</v>
      </c>
      <c r="C1" t="s">
        <v>470</v>
      </c>
      <c r="E1" s="1" t="s">
        <v>470</v>
      </c>
      <c r="G1" s="1" t="s">
        <v>470</v>
      </c>
      <c r="K1" s="1" t="s">
        <v>527</v>
      </c>
    </row>
    <row r="2" spans="1:11">
      <c r="A2" s="1">
        <v>8901</v>
      </c>
      <c r="C2" t="s">
        <v>405</v>
      </c>
      <c r="E2" s="1" t="s">
        <v>528</v>
      </c>
      <c r="G2" s="1" t="s">
        <v>278</v>
      </c>
      <c r="I2" t="s">
        <v>529</v>
      </c>
      <c r="K2" s="1" t="s">
        <v>272</v>
      </c>
    </row>
    <row r="3" spans="1:11" ht="16.5" thickBot="1">
      <c r="A3" s="1">
        <v>8902</v>
      </c>
      <c r="C3" t="s">
        <v>530</v>
      </c>
      <c r="E3" s="1" t="s">
        <v>531</v>
      </c>
      <c r="G3" s="1" t="s">
        <v>520</v>
      </c>
      <c r="I3" t="s">
        <v>526</v>
      </c>
      <c r="K3" s="1" t="s">
        <v>271</v>
      </c>
    </row>
    <row r="4" spans="1:11" ht="16.5" thickBot="1">
      <c r="A4" s="1">
        <v>8903</v>
      </c>
      <c r="E4" s="1" t="s">
        <v>492</v>
      </c>
      <c r="I4" t="s">
        <v>525</v>
      </c>
      <c r="K4" s="1" t="s">
        <v>532</v>
      </c>
    </row>
    <row r="5" spans="1:11" ht="16.5" thickBot="1">
      <c r="A5" s="1">
        <v>8904</v>
      </c>
      <c r="E5" s="1" t="s">
        <v>485</v>
      </c>
      <c r="I5" t="s">
        <v>524</v>
      </c>
      <c r="K5" s="1" t="s">
        <v>533</v>
      </c>
    </row>
    <row r="6" spans="1:11">
      <c r="A6" s="1">
        <v>8905</v>
      </c>
      <c r="E6" s="1" t="s">
        <v>534</v>
      </c>
    </row>
    <row r="7" spans="1:11" ht="31.5">
      <c r="A7" s="1">
        <v>8906</v>
      </c>
      <c r="E7" s="17" t="s">
        <v>535</v>
      </c>
    </row>
    <row r="8" spans="1:11">
      <c r="A8" s="1">
        <v>8907</v>
      </c>
    </row>
    <row r="9" spans="1:11">
      <c r="A9" s="1">
        <v>8908</v>
      </c>
    </row>
    <row r="10" spans="1:11">
      <c r="A10" s="1">
        <v>8909</v>
      </c>
    </row>
    <row r="11" spans="1:11">
      <c r="A11" s="1">
        <v>8910</v>
      </c>
    </row>
    <row r="12" spans="1:11">
      <c r="A12" s="1">
        <v>8911</v>
      </c>
    </row>
    <row r="13" spans="1:11">
      <c r="A13" s="1">
        <v>8912</v>
      </c>
    </row>
    <row r="14" spans="1:11">
      <c r="A14" s="1">
        <v>8913</v>
      </c>
    </row>
    <row r="15" spans="1:11">
      <c r="A15" s="1">
        <v>8914</v>
      </c>
    </row>
    <row r="16" spans="1:11">
      <c r="A16" s="1">
        <v>8915</v>
      </c>
    </row>
    <row r="17" spans="1:1">
      <c r="A17" s="1">
        <v>8916</v>
      </c>
    </row>
    <row r="18" spans="1:1">
      <c r="A18" s="1">
        <v>8917</v>
      </c>
    </row>
    <row r="19" spans="1:1">
      <c r="A19" s="1">
        <v>8918</v>
      </c>
    </row>
    <row r="20" spans="1:1">
      <c r="A20" s="1">
        <v>8919</v>
      </c>
    </row>
    <row r="21" spans="1:1">
      <c r="A21" s="1">
        <v>8920</v>
      </c>
    </row>
    <row r="22" spans="1:1">
      <c r="A22" s="1">
        <v>8921</v>
      </c>
    </row>
    <row r="23" spans="1:1">
      <c r="A23" s="1">
        <v>8922</v>
      </c>
    </row>
    <row r="24" spans="1:1">
      <c r="A24" s="1">
        <v>8923</v>
      </c>
    </row>
    <row r="25" spans="1:1">
      <c r="A25" s="1">
        <v>8924</v>
      </c>
    </row>
    <row r="26" spans="1:1">
      <c r="A26" s="1">
        <v>8925</v>
      </c>
    </row>
    <row r="27" spans="1:1">
      <c r="A27" s="1">
        <v>8926</v>
      </c>
    </row>
    <row r="28" spans="1:1">
      <c r="A28" s="1">
        <v>8927</v>
      </c>
    </row>
    <row r="29" spans="1:1">
      <c r="A29" s="1">
        <v>8928</v>
      </c>
    </row>
    <row r="30" spans="1:1">
      <c r="A30" s="1">
        <v>8929</v>
      </c>
    </row>
    <row r="31" spans="1:1">
      <c r="A31" s="1">
        <v>8930</v>
      </c>
    </row>
    <row r="32" spans="1:1">
      <c r="A32" s="1">
        <v>8931</v>
      </c>
    </row>
    <row r="33" spans="1:1">
      <c r="A33" s="1">
        <v>8932</v>
      </c>
    </row>
    <row r="34" spans="1:1">
      <c r="A34" s="1">
        <v>8933</v>
      </c>
    </row>
    <row r="35" spans="1:1">
      <c r="A35" s="1">
        <v>8934</v>
      </c>
    </row>
    <row r="36" spans="1:1">
      <c r="A36" s="1">
        <v>8935</v>
      </c>
    </row>
    <row r="37" spans="1:1">
      <c r="A37" s="1">
        <v>8936</v>
      </c>
    </row>
  </sheetData>
  <pageMargins left="0.7" right="0.7" top="0.75" bottom="0.75" header="0.511811023622047" footer="0.511811023622047"/>
  <pageSetup orientation="portrait" horizontalDpi="300" verticalDpi="300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5E3638659C25742ADA7DCD578792E31" ma:contentTypeVersion="24" ma:contentTypeDescription="Create a new document." ma:contentTypeScope="" ma:versionID="f56931330099c713fcf04aed872b27c8">
  <xsd:schema xmlns:xsd="http://www.w3.org/2001/XMLSchema" xmlns:xs="http://www.w3.org/2001/XMLSchema" xmlns:p="http://schemas.microsoft.com/office/2006/metadata/properties" xmlns:ns1="http://schemas.microsoft.com/sharepoint/v3" xmlns:ns2="f14b9989-b710-4a18-874f-9bc566e82df2" xmlns:ns3="c714e1a4-1ed4-4913-9b62-9870c60cbb2b" xmlns:ns4="fc7a3a96-1994-4234-a628-0adf8ab2a685" targetNamespace="http://schemas.microsoft.com/office/2006/metadata/properties" ma:root="true" ma:fieldsID="9ed3eeebf3811a1b0845fd8a3be6d2b3" ns1:_="" ns2:_="" ns3:_="" ns4:_="">
    <xsd:import namespace="http://schemas.microsoft.com/sharepoint/v3"/>
    <xsd:import namespace="f14b9989-b710-4a18-874f-9bc566e82df2"/>
    <xsd:import namespace="c714e1a4-1ed4-4913-9b62-9870c60cbb2b"/>
    <xsd:import namespace="fc7a3a96-1994-4234-a628-0adf8ab2a68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4:TaxCatchAll" minOccurs="0"/>
                <xsd:element ref="ns2:MediaLengthInSeconds" minOccurs="0"/>
                <xsd:element ref="ns2:MediaServiceLocation" minOccurs="0"/>
                <xsd:element ref="ns2:MediaServiceSearchProperties" minOccurs="0"/>
                <xsd:element ref="ns2:MediaServiceObjectDetectorVersions" minOccurs="0"/>
                <xsd:element ref="ns2:gce189d0c61646009ebc2d0266a8e2ef" minOccurs="0"/>
                <xsd:element ref="ns3:PrimeClassificationStatus" minOccurs="0"/>
                <xsd:element ref="ns3:PrimeClassificationStatusDetails" minOccurs="0"/>
                <xsd:element ref="ns3:PrimeLastClassified" minOccurs="0"/>
                <xsd:element ref="ns3:PrimeCorrectedByUser" minOccurs="0"/>
                <xsd:element ref="ns1:_ip_UnifiedCompliancePolicyProperties" minOccurs="0"/>
                <xsd:element ref="ns1:_ip_UnifiedCompliancePolicyUIAc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http://schemas.microsoft.com/sharepoint/v3" elementFormDefault="qualified">
    <xsd:import namespace="http://schemas.microsoft.com/office/2006/documentManagement/types"/>
    <xsd:import namespace="http://schemas.microsoft.com/office/infopath/2007/PartnerControls"/>
    <xsd:element name="_ip_UnifiedCompliancePolicyProperties" ma:index="29" nillable="true" ma:displayName="Unified Compliance Policy Properties" ma:hidden="true" ma:internalName="_ip_UnifiedCompliancePolicyProperties">
      <xsd:simpleType>
        <xsd:restriction base="dms:Note"/>
      </xsd:simpleType>
    </xsd:element>
    <xsd:element name="_ip_UnifiedCompliancePolicyUIAction" ma:index="30" nillable="true" ma:displayName="Unified Compliance Policy UI Action" ma:hidden="true" ma:internalName="_ip_UnifiedCompliancePolicyUIAction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14b9989-b710-4a18-874f-9bc566e82df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  <xsd:element name="lcf76f155ced4ddcb4097134ff3c332f" ma:index="17" nillable="true" ma:taxonomy="true" ma:internalName="lcf76f155ced4ddcb4097134ff3c332f" ma:taxonomyFieldName="MediaServiceImageTags" ma:displayName="Image Tags" ma:readOnly="false" ma:fieldId="{5cf76f15-5ced-4ddc-b409-7134ff3c332f}" ma:taxonomyMulti="true" ma:sspId="b396e9a7-f412-4ff8-89ff-8e3dcd6cfbf3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20" nillable="true" ma:displayName="Location" ma:indexed="true" ma:internalName="MediaServiceLocation" ma:readOnly="true">
      <xsd:simpleType>
        <xsd:restriction base="dms:Text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22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gce189d0c61646009ebc2d0266a8e2ef" ma:index="24" nillable="true" ma:taxonomy="true" ma:internalName="gce189d0c61646009ebc2d0266a8e2ef" ma:taxonomyFieldName="Tags" ma:displayName="Tags" ma:default="" ma:fieldId="{0ce189d0-c616-4600-9ebc-2d0266a8e2ef}" ma:taxonomyMulti="true" ma:sspId="b396e9a7-f412-4ff8-89ff-8e3dcd6cfbf3" ma:termSetId="8fc4ebd7-ee50-4bf3-860c-7be15a0af930" ma:anchorId="00000000-0000-0000-0000-000000000000" ma:open="false" ma:isKeyword="false">
      <xsd:complexType>
        <xsd:sequence>
          <xsd:element ref="pc:Terms" minOccurs="0" maxOccurs="1"/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c714e1a4-1ed4-4913-9b62-9870c60cbb2b" elementFormDefault="qualified">
    <xsd:import namespace="http://schemas.microsoft.com/office/2006/documentManagement/types"/>
    <xsd:import namespace="http://schemas.microsoft.com/office/infopath/2007/PartnerControls"/>
    <xsd:element name="SharedWithUsers" ma:index="14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5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PrimeClassificationStatus" ma:index="25" nillable="true" ma:displayName="Processing status" ma:internalName="PrimeClassificationStatus">
      <xsd:simpleType>
        <xsd:restriction base="dms:Text"/>
      </xsd:simpleType>
    </xsd:element>
    <xsd:element name="PrimeClassificationStatusDetails" ma:index="26" nillable="true" ma:displayName="Processing details" ma:internalName="PrimeClassificationStatusDetails">
      <xsd:simpleType>
        <xsd:restriction base="dms:Note">
          <xsd:maxLength value="255"/>
        </xsd:restriction>
      </xsd:simpleType>
    </xsd:element>
    <xsd:element name="PrimeLastClassified" ma:index="27" nillable="true" ma:displayName="Processed" ma:internalName="PrimeLastClassified">
      <xsd:simpleType>
        <xsd:restriction base="dms:DateTime"/>
      </xsd:simpleType>
    </xsd:element>
    <xsd:element name="PrimeCorrectedByUser" ma:index="28" nillable="true" ma:displayName="Corrected" ma:internalName="PrimeCorrectedByUser">
      <xsd:simpleType>
        <xsd:restriction base="dms:Boolea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c7a3a96-1994-4234-a628-0adf8ab2a685" elementFormDefault="qualified">
    <xsd:import namespace="http://schemas.microsoft.com/office/2006/documentManagement/types"/>
    <xsd:import namespace="http://schemas.microsoft.com/office/infopath/2007/PartnerControls"/>
    <xsd:element name="TaxCatchAll" ma:index="18" nillable="true" ma:displayName="Taxonomy Catch All Column" ma:hidden="true" ma:list="{438536da-5b0d-4716-8cae-b6092f0d437f}" ma:internalName="TaxCatchAll" ma:showField="CatchAllData" ma:web="c714e1a4-1ed4-4913-9b62-9870c60cbb2b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14b9989-b710-4a18-874f-9bc566e82df2">
      <Terms xmlns="http://schemas.microsoft.com/office/infopath/2007/PartnerControls"/>
    </lcf76f155ced4ddcb4097134ff3c332f>
    <TaxCatchAll xmlns="fc7a3a96-1994-4234-a628-0adf8ab2a685" xsi:nil="true"/>
    <gce189d0c61646009ebc2d0266a8e2ef xmlns="f14b9989-b710-4a18-874f-9bc566e82df2">
      <Terms xmlns="http://schemas.microsoft.com/office/infopath/2007/PartnerControls"/>
    </gce189d0c61646009ebc2d0266a8e2ef>
    <PrimeClassificationStatusDetails xmlns="c714e1a4-1ed4-4913-9b62-9870c60cbb2b" xsi:nil="true"/>
    <PrimeCorrectedByUser xmlns="c714e1a4-1ed4-4913-9b62-9870c60cbb2b" xsi:nil="true"/>
    <PrimeLastClassified xmlns="c714e1a4-1ed4-4913-9b62-9870c60cbb2b" xsi:nil="true"/>
    <PrimeClassificationStatus xmlns="c714e1a4-1ed4-4913-9b62-9870c60cbb2b" xsi:nil="true"/>
    <_ip_UnifiedCompliancePolicyUIAction xmlns="http://schemas.microsoft.com/sharepoint/v3" xsi:nil="true"/>
    <_ip_UnifiedCompliancePolicyProperties xmlns="http://schemas.microsoft.com/sharepoint/v3" xsi:nil="true"/>
  </documentManagement>
</p:properties>
</file>

<file path=customXml/item4.xml>�� 
</file>

<file path=customXml/itemProps1.xml><?xml version="1.0" encoding="utf-8"?>
<ds:datastoreItem xmlns:ds="http://schemas.openxmlformats.org/officeDocument/2006/customXml" ds:itemID="{1256AD00-3AB1-42AB-85FE-63C730E5F04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microsoft.com/sharepoint/v3"/>
    <ds:schemaRef ds:uri="f14b9989-b710-4a18-874f-9bc566e82df2"/>
    <ds:schemaRef ds:uri="c714e1a4-1ed4-4913-9b62-9870c60cbb2b"/>
    <ds:schemaRef ds:uri="fc7a3a96-1994-4234-a628-0adf8ab2a68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F8531F03-0C5C-44A8-A55E-96DAE72C3364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C3EE63-B883-4973-8DEF-B52AB1109C0C}">
  <ds:schemaRefs>
    <ds:schemaRef ds:uri="http://schemas.microsoft.com/office/2006/metadata/properties"/>
    <ds:schemaRef ds:uri="http://schemas.microsoft.com/office/infopath/2007/PartnerControls"/>
    <ds:schemaRef ds:uri="f14b9989-b710-4a18-874f-9bc566e82df2"/>
    <ds:schemaRef ds:uri="fc7a3a96-1994-4234-a628-0adf8ab2a685"/>
    <ds:schemaRef ds:uri="c714e1a4-1ed4-4913-9b62-9870c60cbb2b"/>
    <ds:schemaRef ds:uri="http://schemas.microsoft.com/sharepoint/v3"/>
  </ds:schemaRefs>
</ds:datastoreItem>
</file>

<file path=customXml/itemProps4.xml><?xml version="1.0" encoding="utf-8"?>
<ds:datastoreItem xmlns:ds="http://schemas.openxmlformats.org/officeDocument/2006/customXml" ds:itemID="{2F891E7B-89D6-49AA-A873-D04F87C52EF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3</vt:i4>
      </vt:variant>
    </vt:vector>
  </HeadingPairs>
  <TitlesOfParts>
    <vt:vector size="11" baseType="lpstr">
      <vt:lpstr>POCT Unit Guide NEWv2</vt:lpstr>
      <vt:lpstr>EOSR 2.0</vt:lpstr>
      <vt:lpstr>Unit Guide</vt:lpstr>
      <vt:lpstr>EOSR</vt:lpstr>
      <vt:lpstr>CAUTI-CLABSI</vt:lpstr>
      <vt:lpstr>DCv5</vt:lpstr>
      <vt:lpstr>UNITGUIDE</vt:lpstr>
      <vt:lpstr>DATA LISTS - DO NOT DELETE</vt:lpstr>
      <vt:lpstr>'CAUTI-CLABSI'!Print_Area</vt:lpstr>
      <vt:lpstr>EOSR!Print_Area</vt:lpstr>
      <vt:lpstr>'Unit Guide'!Print_Area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Moyer, Ted</dc:creator>
  <cp:keywords/>
  <dc:description/>
  <cp:lastModifiedBy>Moyer, Ted</cp:lastModifiedBy>
  <cp:revision>1</cp:revision>
  <cp:lastPrinted>2026-09-16T05:51:44Z</cp:lastPrinted>
  <dcterms:created xsi:type="dcterms:W3CDTF">2024-06-29T19:28:26Z</dcterms:created>
  <dcterms:modified xsi:type="dcterms:W3CDTF">2026-09-16T05:57:35Z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0x01010085E3638659C25742ADA7DCD578792E31</vt:lpwstr>
  </property>
  <property fmtid="{D5CDD505-2E9C-101B-9397-08002B2CF9AE}" pid="3" name="MediaServiceImageTags">
    <vt:lpwstr/>
  </property>
  <property fmtid="{D5CDD505-2E9C-101B-9397-08002B2CF9AE}" pid="4" name="Tags">
    <vt:lpwstr/>
  </property>
</Properties>
</file>